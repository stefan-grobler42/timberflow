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itek\pamba\jobs\S04002-5\Attachments\"/>
    </mc:Choice>
  </mc:AlternateContent>
  <xr:revisionPtr revIDLastSave="0" documentId="13_ncr:1_{F6FB26CF-4829-42DC-B6AE-513280FFC991}" xr6:coauthVersionLast="47" xr6:coauthVersionMax="47" xr10:uidLastSave="{00000000-0000-0000-0000-000000000000}"/>
  <bookViews>
    <workbookView xWindow="-108" yWindow="-108" windowWidth="46296" windowHeight="25416" tabRatio="655" firstSheet="16" activeTab="19" xr2:uid="{00000000-000D-0000-FFFF-FFFF00000000}"/>
  </bookViews>
  <sheets>
    <sheet name="General Data" sheetId="534" r:id="rId1"/>
    <sheet name="Framing Zones" sheetId="536" r:id="rId2"/>
    <sheet name="Frames" sheetId="537" r:id="rId3"/>
    <sheet name="Manufacture frames" sheetId="548" r:id="rId4"/>
    <sheet name="Timber" sheetId="541" r:id="rId5"/>
    <sheet name="Cladding" sheetId="551" r:id="rId6"/>
    <sheet name="Boards" sheetId="552" r:id="rId7"/>
    <sheet name="Connector Plates" sheetId="540" r:id="rId8"/>
    <sheet name="Posi Struts" sheetId="549" r:id="rId9"/>
    <sheet name="Metalwork" sheetId="546" r:id="rId10"/>
    <sheet name="Bracing" sheetId="538" r:id="rId11"/>
    <sheet name="Walls" sheetId="543" r:id="rId12"/>
    <sheet name="Surfaces" sheetId="544" r:id="rId13"/>
    <sheet name="Attic Rooms" sheetId="545" r:id="rId14"/>
    <sheet name="Roofing Data" sheetId="539" r:id="rId15"/>
    <sheet name="Sundry Items" sheetId="542" r:id="rId16"/>
    <sheet name="Fasteners" sheetId="547" r:id="rId17"/>
    <sheet name="Doors and Windows" sheetId="550" r:id="rId18"/>
    <sheet name="Decking" sheetId="553" r:id="rId19"/>
    <sheet name="Sheeting" sheetId="554" r:id="rId20"/>
    <sheet name="CO2 material" sheetId="555" r:id="rId21"/>
  </sheets>
  <definedNames>
    <definedName name="ALTITUDE">'General Data'!$C$16</definedName>
    <definedName name="ATTIC_ROOMS_TABLE">'Attic Rooms'!$A$1</definedName>
    <definedName name="ATTIC_ROOMS_TABLE_AREA">'Attic Rooms'!$C$1</definedName>
    <definedName name="ATTIC_ROOMS_TABLE_CONCRETE_FLOOR">'Attic Rooms'!$E$1</definedName>
    <definedName name="ATTIC_ROOMS_TABLE_HEIGHT">'Attic Rooms'!$B$1</definedName>
    <definedName name="ATTIC_ROOMS_TABLE_LIVING_AREA">'Attic Rooms'!$D$1</definedName>
    <definedName name="ATTIC_ROOMS_TABLE_NAME">'Attic Rooms'!$A$1</definedName>
    <definedName name="BOARDS_TABLE">Boards!$A$1</definedName>
    <definedName name="BOARDS_TABLE_BOARD_NAME">Boards!$C$1</definedName>
    <definedName name="BOARDS_TABLE_LENGTH">Boards!$G$1</definedName>
    <definedName name="BOARDS_TABLE_PRICE">Boards!$I$1</definedName>
    <definedName name="BOARDS_TABLE_PRODUCT_CODE">Boards!$D$1</definedName>
    <definedName name="BOARDS_TABLE_QUANTITY">Boards!$A$1</definedName>
    <definedName name="BOARDS_TABLE_THICKNESS">Boards!$E$1</definedName>
    <definedName name="BOARDS_TABLE_TYPE">Boards!$B$1</definedName>
    <definedName name="BOARDS_TABLE_WEIGHT">Boards!$H$1</definedName>
    <definedName name="BOARDS_TABLE_WIDTH">Boards!$F$1</definedName>
    <definedName name="BRACING_TABLE">Bracing!$A$1</definedName>
    <definedName name="BRACING_TABLE_DEPTH">Bracing!$F$1</definedName>
    <definedName name="BRACING_TABLE_GRADE">Bracing!$G$1</definedName>
    <definedName name="BRACING_TABLE_LENGTH">Bracing!$C$1</definedName>
    <definedName name="BRACING_TABLE_MATERIAL_NAME">Bracing!$H$1</definedName>
    <definedName name="BRACING_TABLE_NAME">Bracing!$A$1</definedName>
    <definedName name="BRACING_TABLE_PRICE_M3">Bracing!$J$1</definedName>
    <definedName name="BRACING_TABLE_QUOTE_GROUP">Bracing!$I$1</definedName>
    <definedName name="BRACING_TABLE_STOCK_LENGTH">Bracing!$D$1</definedName>
    <definedName name="BRACING_TABLE_THICKNESS">Bracing!$E$1</definedName>
    <definedName name="BRACING_TABLE_TYPE">Bracing!$B$1</definedName>
    <definedName name="CLADDING_TABLE">Cladding!$A$1</definedName>
    <definedName name="CLADDING_TABLE_FRAME">Cladding!$A$1</definedName>
    <definedName name="CLADDING_TABLE_LENGTH">Cladding!$G$1</definedName>
    <definedName name="CLADDING_TABLE_NAME">Cladding!$C$1</definedName>
    <definedName name="CLADDING_TABLE_PRICE">Cladding!$I$1</definedName>
    <definedName name="CLADDING_TABLE_PRODUCT_CODE">Cladding!$D$1</definedName>
    <definedName name="CLADDING_TABLE_PROFILE">Cladding!#REF!</definedName>
    <definedName name="CLADDING_TABLE_QUANTITY">Cladding!$B$1</definedName>
    <definedName name="CLADDING_TABLE_THICKNESS">Cladding!$E$1</definedName>
    <definedName name="CLADDING_TABLE_WEIGHT">Cladding!$H$1</definedName>
    <definedName name="CLADDING_TABLE_WIDTH">Cladding!$F$1</definedName>
    <definedName name="CO2_MATERIAL_TABLE">'CO2 material'!$A$1</definedName>
    <definedName name="CO2_MATERIAL_TABLE_AREA">'CO2 material'!$G$1</definedName>
    <definedName name="CO2_MATERIAL_TABLE_ID">'CO2 material'!$A$1</definedName>
    <definedName name="CO2_MATERIAL_TABLE_LENGTH">'CO2 material'!$H$1</definedName>
    <definedName name="CO2_MATERIAL_TABLE_MASS">'CO2 material'!$E$1</definedName>
    <definedName name="CO2_MATERIAL_TABLE_MATERIAL">'CO2 material'!$B$1</definedName>
    <definedName name="CO2_MATERIAL_TABLE_RESULTVALUE">'CO2 material'!$I$1</definedName>
    <definedName name="CO2_MATERIAL_TABLE_SITEFIXED">'CO2 material'!$D$1</definedName>
    <definedName name="CO2_MATERIAL_TABLE_SUBCATEGORY">'CO2 material'!$C$1</definedName>
    <definedName name="CO2_MATERIAL_TABLE_UNIT">'CO2 material'!$J$1</definedName>
    <definedName name="CO2_MATERIAL_TABLE_VOLUME">'CO2 material'!$F$1</definedName>
    <definedName name="CONNECTORS_TABLE">'Connector Plates'!$A$1</definedName>
    <definedName name="CONNECTORS_TABLE_COUNT">'Connector Plates'!$B$1</definedName>
    <definedName name="CONNECTORS_TABLE_COUNT_PER_PLY">'Connector Plates'!$C$1</definedName>
    <definedName name="CONNECTORS_TABLE_DEPTH">'Connector Plates'!$D$1</definedName>
    <definedName name="CONNECTORS_TABLE_FRAME">'Connector Plates'!$A$1</definedName>
    <definedName name="CONNECTORS_TABLE_GAUGE">'Connector Plates'!$F$1</definedName>
    <definedName name="CONNECTORS_TABLE_LENGTH">'Connector Plates'!$E$1</definedName>
    <definedName name="CONNECTORS_TABLE_MATERIAL_NAME">'Connector Plates'!$G$1</definedName>
    <definedName name="CONNECTORS_TABLE_PART_NUMBER">'Connector Plates'!$J$1</definedName>
    <definedName name="CONNECTORS_TABLE_PRICE_M2">'Connector Plates'!$I$1</definedName>
    <definedName name="CONNECTORS_TABLE_PRODUCT_CODE">'Connector Plates'!$H$1</definedName>
    <definedName name="CUSTOMER_ADDRESS">'General Data'!$C$3</definedName>
    <definedName name="CUSTOMER_DATA_PATH">'General Data'!$C$5</definedName>
    <definedName name="CUSTOMER_ID">'General Data'!$C$4</definedName>
    <definedName name="CUSTOMER_NAME">'General Data'!$C$2</definedName>
    <definedName name="DEAD_LOAD_CEILING">'General Data'!$C$14</definedName>
    <definedName name="DEAD_LOAD_ROOF">'General Data'!$C$13</definedName>
    <definedName name="DECKING_TABLE">Decking!$A$1</definedName>
    <definedName name="DECKING_TABLE_CUTLENGTH">Decking!$I$1</definedName>
    <definedName name="DECKING_TABLE_CUTWIDTH">Decking!$H$1</definedName>
    <definedName name="DECKING_TABLE_LABEL">Decking!$B$1</definedName>
    <definedName name="DECKING_TABLE_LENGTH">Decking!$G$1</definedName>
    <definedName name="DECKING_TABLE_MATERIAL">Decking!$C$1</definedName>
    <definedName name="DECKING_TABLE_PRICE">Decking!$K$1</definedName>
    <definedName name="DECKING_TABLE_PRODUCT_CODE">Decking!$D$1</definedName>
    <definedName name="DECKING_TABLE_QUANTITY">Decking!$A$1</definedName>
    <definedName name="DECKING_TABLE_THICKNESS">Decking!$E$1</definedName>
    <definedName name="DECKING_TABLE_WEIGHT">Decking!$J$1</definedName>
    <definedName name="DECKING_TABLE_WIDTH">Decking!$F$1</definedName>
    <definedName name="DESCRIPTION_COLUMN" localSheetId="17">#REF!</definedName>
    <definedName name="DESCRIPTION_COLUMN">#REF!</definedName>
    <definedName name="DESIGNER">'General Data'!$C$1</definedName>
    <definedName name="END_ACCESSORIES" localSheetId="17">#REF!</definedName>
    <definedName name="END_ACCESSORIES">#REF!</definedName>
    <definedName name="END_BRACING" localSheetId="17">#REF!</definedName>
    <definedName name="END_BRACING">#REF!</definedName>
    <definedName name="END_FRAMES" localSheetId="17">#REF!</definedName>
    <definedName name="END_FRAMES">#REF!</definedName>
    <definedName name="END_METALWORK" localSheetId="17">#REF!</definedName>
    <definedName name="END_METALWORK">#REF!</definedName>
    <definedName name="END_MISC" localSheetId="17">#REF!</definedName>
    <definedName name="END_MISC">#REF!</definedName>
    <definedName name="END_NOT_CONNECTED_WOOD_PRODUCTS" localSheetId="17">#REF!</definedName>
    <definedName name="END_NOT_CONNECTED_WOOD_PRODUCTS">#REF!</definedName>
    <definedName name="EXPORT_METHOD" localSheetId="17">#REF!</definedName>
    <definedName name="EXPORT_METHOD">#REF!</definedName>
    <definedName name="EXTENDEDBOTTOMCHORD_HEEL_OFFSET">'General Data'!$C$27</definedName>
    <definedName name="EXTENDEDBOTTOMCHORD_VERTICAL_HEIGHT">'General Data'!$C$28</definedName>
    <definedName name="FABRICATOR">'General Data'!$C$10</definedName>
    <definedName name="FASTENERS_TABLE">Fasteners!$A$1</definedName>
    <definedName name="FASTENERS_TABLE_DIAMETER">Fasteners!$I$1</definedName>
    <definedName name="FASTENERS_TABLE_LENGTH">Fasteners!$J$1</definedName>
    <definedName name="FASTENERS_TABLE_MANUFACTURER">Fasteners!$F$1</definedName>
    <definedName name="FASTENERS_TABLE_MATERIAL_NAME">Fasteners!$E$1</definedName>
    <definedName name="FASTENERS_TABLE_OBJECT">Fasteners!$B$1</definedName>
    <definedName name="FASTENERS_TABLE_PACKAGE">Fasteners!$K$1</definedName>
    <definedName name="FASTENERS_TABLE_PRICE_PER_PACKAGE">Fasteners!$L$1</definedName>
    <definedName name="FASTENERS_TABLE_QUANTITY">Fasteners!$C$1</definedName>
    <definedName name="FASTENERS_TABLE_REF">Fasteners!$A$1</definedName>
    <definedName name="FASTENERS_TABLE_SUB_TYPE">Fasteners!$H$1</definedName>
    <definedName name="FASTENERS_TABLE_TYPE">Fasteners!$D$1</definedName>
    <definedName name="FASTENERS_TABLE_USAGE">Fasteners!$G$1</definedName>
    <definedName name="FermesCourantes" localSheetId="17">#REF!</definedName>
    <definedName name="FermesCourantes">#REF!</definedName>
    <definedName name="FINAL_CUSTOMER">'General Data'!$C$6</definedName>
    <definedName name="FRAME_SPACING">'General Data'!$C$19</definedName>
    <definedName name="FRAMES_METHOD" localSheetId="17">#REF!</definedName>
    <definedName name="FRAMES_METHOD">#REF!</definedName>
    <definedName name="FRAMES_TABLE">Frames!$A$1</definedName>
    <definedName name="FRAMES_TABLE_CASSETTE">Frames!$BK$1</definedName>
    <definedName name="FRAMES_TABLE_CEILING_SEGMENTS">Frames!$AH$1</definedName>
    <definedName name="FRAMES_TABLE_CENTER">Frames!$M$1</definedName>
    <definedName name="FRAMES_TABLE_CONNECTOR_AREA">Frames!$R$1</definedName>
    <definedName name="FRAMES_TABLE_CONNECTOR_AREA_SINGLE">Frames!$S$1</definedName>
    <definedName name="FRAMES_TABLE_CONNECTOR_POINTS">Frames!$T$1</definedName>
    <definedName name="FRAMES_TABLE_DOOR_AREA">Frames!$BF$1</definedName>
    <definedName name="FRAMES_TABLE_FAMILY">Frames!$E$1</definedName>
    <definedName name="FRAMES_TABLE_FAMILY_ID">Frames!$G$1</definedName>
    <definedName name="FRAMES_TABLE_FRAMING_ZONE">Frames!$AA$1</definedName>
    <definedName name="FRAMES_TABLE_HAS_LEFT_STUB">Frames!$AW$1</definedName>
    <definedName name="FRAMES_TABLE_HAS_RIGHT_STUB">Frames!$AX$1</definedName>
    <definedName name="FRAMES_TABLE_HOLES">Frames!$AS$1</definedName>
    <definedName name="FRAMES_TABLE_HOUSINGS">Frames!$AR$1</definedName>
    <definedName name="FRAMES_TABLE_IS_ATTIC">Frames!$AT$1</definedName>
    <definedName name="FRAMES_TABLE_IS_ON_CONCRETE">Frames!$AU$1</definedName>
    <definedName name="FRAMES_TABLE_LABEL">Frames!$B$1</definedName>
    <definedName name="FRAMES_TABLE_LAYOUT">Frames!$AD$1</definedName>
    <definedName name="FRAMES_TABLE_MATCH_GROUP">Frames!$AI$1</definedName>
    <definedName name="FRAMES_TABLE_MATCH_GROUP_MASTER">Frames!$AJ$1</definedName>
    <definedName name="FRAMES_TABLE_NAME">Frames!$A$1</definedName>
    <definedName name="FRAMES_TABLE_NBR_OF_SUPPORTS">Frames!$AV$1</definedName>
    <definedName name="FRAMES_TABLE_OVERALL_HEIGHT">Frames!$AF$1</definedName>
    <definedName name="FRAMES_TABLE_OVERALL_SPAN">Frames!$AE$1</definedName>
    <definedName name="FRAMES_TABLE_OVERHANG_FROM">Frames!$AY$1</definedName>
    <definedName name="FRAMES_TABLE_OVERHANG_TO">Frames!$AZ$1</definedName>
    <definedName name="FRAMES_TABLE_PANEL_AREA">Frames!$BG$1</definedName>
    <definedName name="FRAMES_TABLE_PART_TRANSPORTATION_SIZES">Frames!$BC$1</definedName>
    <definedName name="FRAMES_TABLE_PARTS">Frames!$W$1</definedName>
    <definedName name="FRAMES_TABLE_PITCH">Frames!$J$1</definedName>
    <definedName name="FRAMES_TABLE_PITCH_TCL">Frames!$K$1</definedName>
    <definedName name="FRAMES_TABLE_PITCH_TCR">Frames!$L$1</definedName>
    <definedName name="FRAMES_TABLE_PLIES">Frames!$D$1</definedName>
    <definedName name="FRAMES_TABLE_PRESS_COUNT">Frames!$AP$1</definedName>
    <definedName name="FRAMES_TABLE_PRESS_SETUP_TIME">Frames!$AN$1</definedName>
    <definedName name="FRAMES_TABLE_PRESSING_TIME">Frames!$AO$1</definedName>
    <definedName name="FRAMES_TABLE_PRICE_PCS">Frames!$V$1</definedName>
    <definedName name="FRAMES_TABLE_PRODUCTION_CASE">Frames!$Y$1</definedName>
    <definedName name="FRAMES_TABLE_PRODUCTION_SET">Frames!$AB$1</definedName>
    <definedName name="FRAMES_TABLE_QUANTITY_SINGLE_PLY">Frames!$C$1</definedName>
    <definedName name="FRAMES_TABLE_QUOTE_GROUP">Frames!$Z$1</definedName>
    <definedName name="FRAMES_TABLE_REDUCTIONS">Frames!$AQ$1</definedName>
    <definedName name="FRAMES_TABLE_ROOF_SEGMENTS">Frames!$AG$1</definedName>
    <definedName name="FRAMES_TABLE_ROOM_HEIGHT">Frames!$BJ$1</definedName>
    <definedName name="FRAMES_TABLE_ROOM_WIDTH">Frames!$BI$1</definedName>
    <definedName name="FRAMES_TABLE_SAW_CUTTING_TIME_INSTANCE">Frames!$AL$1</definedName>
    <definedName name="FRAMES_TABLE_SAW_SETUP_TIME">Frames!$AK$1</definedName>
    <definedName name="FRAMES_TABLE_SPAN">Frames!$I$1</definedName>
    <definedName name="FRAMES_TABLE_SPLICES">Frames!$U$1</definedName>
    <definedName name="FRAMES_TABLE_STOREY">Frames!$AC$1</definedName>
    <definedName name="FRAMES_TABLE_TIMBER_COUNT">Frames!$AM$1</definedName>
    <definedName name="FRAMES_TABLE_TOTAL_PARTS">Frames!$X$1</definedName>
    <definedName name="FRAMES_TABLE_TRANSPORTATION_HEIGHT">Frames!$BB$1</definedName>
    <definedName name="FRAMES_TABLE_TRANSPORTATION_LENGTH">Frames!$BA$1</definedName>
    <definedName name="FRAMES_TABLE_TYPE">Frames!$F$1</definedName>
    <definedName name="FRAMES_TABLE_TYPE_ID">Frames!$H$1</definedName>
    <definedName name="FRAMES_TABLE_VOLUME_ACTUAL">Frames!$N$1</definedName>
    <definedName name="FRAMES_TABLE_VOLUME_ACTUAL_SINGLE">Frames!$O$1</definedName>
    <definedName name="FRAMES_TABLE_VOLUME_STOCK">Frames!$P$1</definedName>
    <definedName name="FRAMES_TABLE_VOLUME_STOCK_SINGLE">Frames!$Q$1</definedName>
    <definedName name="FRAMES_TABLE_WALL_PANEL_ASSEMBLY_TIME">Frames!$BH$1</definedName>
    <definedName name="FRAMES_TABLE_WEIGHT">Frames!$BD$1</definedName>
    <definedName name="FRAMES_TABLE_WINDOW_AREA">Frames!$BE$1</definedName>
    <definedName name="FRAMING_ZONES_LAYOUT">'Framing Zones'!$F$1</definedName>
    <definedName name="FRAMING_ZONES_STOREY">'Framing Zones'!$G$1</definedName>
    <definedName name="FRAMING_ZONES_TABLE">'Framing Zones'!$A$1</definedName>
    <definedName name="FRAMING_ZONES_TABLE_LAYOUT">'Framing Zones'!$F$1</definedName>
    <definedName name="FRAMING_ZONES_TABLE_NAME">'Framing Zones'!$A$1</definedName>
    <definedName name="FRAMING_ZONES_TABLE_PITCH">'Framing Zones'!$D$1</definedName>
    <definedName name="FRAMING_ZONES_TABLE_PRICE">'Framing Zones'!$E$1</definedName>
    <definedName name="FRAMING_ZONES_TABLE_SPAN">'Framing Zones'!$C$1</definedName>
    <definedName name="FRAMING_ZONES_TABLE_STOREY">'Framing Zones'!$G$1</definedName>
    <definedName name="FRAMING_ZONES_TABLE_TYPE">'Framing Zones'!$B$1</definedName>
    <definedName name="HEEL_TYPE">'General Data'!$C$20</definedName>
    <definedName name="HIDE_ORPHAN_FRAMES" localSheetId="17">#REF!</definedName>
    <definedName name="HIDE_ORPHAN_FRAMES">#REF!</definedName>
    <definedName name="HIDE_SUB_TOTALS" localSheetId="17">#REF!</definedName>
    <definedName name="HIDE_SUB_TOTALS">#REF!</definedName>
    <definedName name="ITEM_PRICES" localSheetId="17">#REF!</definedName>
    <definedName name="ITEM_PRICES">#REF!</definedName>
    <definedName name="Jobref" localSheetId="17">#REF!</definedName>
    <definedName name="Jobref">#REF!</definedName>
    <definedName name="MANUFACTURING_FRAMES_TABLE">'Manufacture frames'!$A$1</definedName>
    <definedName name="MANUFACTURING_FRAMES_TABLE_CONNECTOR_AREA">'Manufacture frames'!$H$1</definedName>
    <definedName name="MANUFACTURING_FRAMES_TABLE_CONNECTOR_POINTS">'Manufacture frames'!$I$1</definedName>
    <definedName name="MANUFACTURING_FRAMES_TABLE_IS_ATTIC">'Manufacture frames'!$L$1</definedName>
    <definedName name="MANUFACTURING_FRAMES_TABLE_IS_ON_CONCRETE">'Manufacture frames'!$M$1</definedName>
    <definedName name="MANUFACTURING_FRAMES_TABLE_LABEL">'Manufacture frames'!$K$1</definedName>
    <definedName name="MANUFACTURING_FRAMES_TABLE_LAYOUT">'Manufacture frames'!$O$1</definedName>
    <definedName name="MANUFACTURING_FRAMES_TABLE_NAME">'Manufacture frames'!$A$1</definedName>
    <definedName name="MANUFACTURING_FRAMES_TABLE_OVERALL_HEIGHT">'Manufacture frames'!$E$1</definedName>
    <definedName name="MANUFACTURING_FRAMES_TABLE_OVERALL_SPAN">'Manufacture frames'!$D$1</definedName>
    <definedName name="MANUFACTURING_FRAMES_TABLE_PLIES">'Manufacture frames'!$C$1</definedName>
    <definedName name="MANUFACTURING_FRAMES_TABLE_PRODUCTION_SET">'Manufacture frames'!$J$1</definedName>
    <definedName name="MANUFACTURING_FRAMES_TABLE_QUANTITY">'Manufacture frames'!$B$1</definedName>
    <definedName name="MANUFACTURING_FRAMES_TABLE_ROOF_SEGMENTS">'Manufacture frames'!$F$1</definedName>
    <definedName name="MANUFACTURING_FRAMES_TABLE_STOREY">'Manufacture frames'!$N$1</definedName>
    <definedName name="MANUFACTURING_FRAMES_TABLE_VOLUME_ACTUAL">'Manufacture frames'!$G$1</definedName>
    <definedName name="MasqueOrphelines" localSheetId="17">#REF!</definedName>
    <definedName name="MasqueOrphelines">#REF!</definedName>
    <definedName name="MasqueSousTotaux" localSheetId="17">#REF!</definedName>
    <definedName name="MasqueSousTotaux">#REF!</definedName>
    <definedName name="MATERIAL_TOTAL_ALLWOODENITEMS_PRICE">'General Data'!$C$40</definedName>
    <definedName name="MATERIAL_TOTAL_CIRCULAR_TIMBER_VOLUME">'General Data'!$C$33</definedName>
    <definedName name="MATERIAL_TOTAL_GLULAM_PRICE">'General Data'!$C$39</definedName>
    <definedName name="MATERIAL_TOTAL_GLULAM_VOLUME">'General Data'!$C$35</definedName>
    <definedName name="MATERIAL_TOTAL_LVL_PRICE">'General Data'!$C$38</definedName>
    <definedName name="MATERIAL_TOTAL_LVL_VOLUME">'General Data'!$C$34</definedName>
    <definedName name="MATERIAL_TOTAL_PLATES_PRICE">'General Data'!$C$41</definedName>
    <definedName name="MATERIAL_TOTAL_POSISTRUT_PRICE">'General Data'!$C$42</definedName>
    <definedName name="MATERIAL_TOTAL_TIMBER_PRICE">'General Data'!$C$37</definedName>
    <definedName name="MATERIAL_TOTAL_TIMBER_VOLUME">'General Data'!$C$32</definedName>
    <definedName name="METALWORK_TABLE">Metalwork!$D$1</definedName>
    <definedName name="METALWORK_TABLE_COUNT">Metalwork!$D$1</definedName>
    <definedName name="METALWORK_TABLE_DEPTH">Metalwork!$N$1</definedName>
    <definedName name="METALWORK_TABLE_DESCRIPTION">Metalwork!$J$1</definedName>
    <definedName name="METALWORK_TABLE_FAILURE_REASON">Metalwork!$F$1</definedName>
    <definedName name="METALWORK_TABLE_FINAL_PRICE">Metalwork!$Q$1</definedName>
    <definedName name="METALWORK_TABLE_FIXING">Metalwork!$R$1</definedName>
    <definedName name="METALWORK_TABLE_FIXING_QUANTITY">Metalwork!$S$1</definedName>
    <definedName name="METALWORK_TABLE_FLANGE_WIDTH">Metalwork!$O$1</definedName>
    <definedName name="METALWORK_TABLE_GROUP">Metalwork!$H$1</definedName>
    <definedName name="METALWORK_TABLE_HANGER">Metalwork!$I$1</definedName>
    <definedName name="METALWORK_TABLE_HEIGHT">Metalwork!$M$1</definedName>
    <definedName name="METALWORK_TABLE_MATERIAL_NAME">Metalwork!$K$1</definedName>
    <definedName name="METALWORK_TABLE_QUANTITY">Metalwork!$D$1</definedName>
    <definedName name="METALWORK_TABLE_QUOTE_GROUP">Metalwork!$P$1</definedName>
    <definedName name="METALWORK_TABLE_STATUS">Metalwork!$E$1</definedName>
    <definedName name="METALWORK_TABLE_SUPPLIER">Metalwork!$G$1</definedName>
    <definedName name="METALWORK_TABLE_WIDTH">Metalwork!$L$1</definedName>
    <definedName name="OPENING_DESCRIPTION">'Doors and Windows'!$F$1</definedName>
    <definedName name="OPENING_FRAME_LABEL">'Doors and Windows'!$A$1</definedName>
    <definedName name="OPENING_HEIGHT">'Doors and Windows'!$D$1</definedName>
    <definedName name="OPENING_NAME">'Doors and Windows'!$E$1</definedName>
    <definedName name="OPENING_QUANTITY">'Doors and Windows'!$G$1</definedName>
    <definedName name="OPENING_TYPE">'Doors and Windows'!$B$1</definedName>
    <definedName name="OPENING_WIDTH">'Doors and Windows'!$C$1</definedName>
    <definedName name="PAMIR_VAT">'General Data'!$C$31</definedName>
    <definedName name="PART_TRANSPORTATION_SIZES">Frames!$BC$1</definedName>
    <definedName name="PERPENDICULAR_HEEL_OFFSET">'General Data'!$C$25</definedName>
    <definedName name="PERPENDICULAR_HEEL_PERPENDICULAR_HEIGHT">'General Data'!$C$26</definedName>
    <definedName name="PITCH">'General Data'!$C$18</definedName>
    <definedName name="POSI_STRUT_TABLE">'Posi Struts'!$A$1</definedName>
    <definedName name="POSI_STRUT_TABLE_FRAME">'Posi Struts'!$A$1</definedName>
    <definedName name="POSI_STRUT_TABLE_PRICE_FULL">'Posi Struts'!$E$1</definedName>
    <definedName name="POSI_STRUT_TABLE_PRICE_SINGLE">'Posi Struts'!$F$1</definedName>
    <definedName name="POSI_STRUT_TABLE_QUANTITY_FULL">'Posi Struts'!$C$1</definedName>
    <definedName name="POSI_STRUT_TABLE_QUANTITY_SINGLE">'Posi Struts'!$D$1</definedName>
    <definedName name="POSI_STRUT_TABLE_SIZE">'Posi Struts'!$B$1</definedName>
    <definedName name="PRICE_COLUMN" localSheetId="17">#REF!</definedName>
    <definedName name="PRICE_COLUMN">#REF!</definedName>
    <definedName name="PRICE_ON_ITEMS" localSheetId="17">#REF!</definedName>
    <definedName name="PRICE_ON_ITEMS">#REF!</definedName>
    <definedName name="PROJECT_NAME">'General Data'!$C$9</definedName>
    <definedName name="PROJECT_TYPE">'General Data'!$C$12</definedName>
    <definedName name="QUANTITY_COLUMN" localSheetId="17">#REF!</definedName>
    <definedName name="QUANTITY_COLUMN">#REF!</definedName>
    <definedName name="QUANTITY_UNIT_COLUMN" localSheetId="17">#REF!</definedName>
    <definedName name="QUANTITY_UNIT_COLUMN">#REF!</definedName>
    <definedName name="ROOFING_DATA_TABLE">'Roofing Data'!$A$1</definedName>
    <definedName name="ROOFING_DATA_TABLE_LENGTH">'Roofing Data'!$B$1</definedName>
    <definedName name="ROOFING_DATA_TABLE_TYPE">'Roofing Data'!$A$1</definedName>
    <definedName name="SHEETING_TABLE">Sheeting!$A$1</definedName>
    <definedName name="SHEETING_TABLE_CUTHEIGHT">Sheeting!$J$1</definedName>
    <definedName name="SHEETING_TABLE_CUTLENGTH">Sheeting!$J$1</definedName>
    <definedName name="SHEETING_TABLE_CUTWIDTH">Sheeting!$I$1</definedName>
    <definedName name="SHEETING_TABLE_LABEL">Sheeting!$B$1</definedName>
    <definedName name="SHEETING_TABLE_LENGTH">Sheeting!$H$1</definedName>
    <definedName name="SHEETING_TABLE_MATERIAL">Sheeting!$D$1</definedName>
    <definedName name="SHEETING_TABLE_PRICE">Sheeting!$L$1</definedName>
    <definedName name="SHEETING_TABLE_PRODUCT_CODE">Sheeting!$E$1</definedName>
    <definedName name="SHEETING_TABLE_QUANTITY">Sheeting!$A$1</definedName>
    <definedName name="SHEETING_TABLE_THICKNESS">Sheeting!$F$1</definedName>
    <definedName name="SHEETING_TABLE_WEIGHT">Sheeting!$K$1</definedName>
    <definedName name="SHEETING_TABLE_WIDTH">Sheeting!$G$1</definedName>
    <definedName name="SHOW_ONLY_CURRENT_FRAME" localSheetId="17">#REF!</definedName>
    <definedName name="SHOW_ONLY_CURRENT_FRAME">#REF!</definedName>
    <definedName name="SITE_ADDRESS">'General Data'!$C$8</definedName>
    <definedName name="SITE_LOCATION">'General Data'!$C$7</definedName>
    <definedName name="SNOW_ZONE">'General Data'!$C$15</definedName>
    <definedName name="STANDARD_HEEL_OVERHANG">'General Data'!$C$23</definedName>
    <definedName name="STANDARD_HEEL_PERPENDICULAR_HEIGHT">'General Data'!$C$24</definedName>
    <definedName name="START_ACCESSORIES" localSheetId="17">#REF!</definedName>
    <definedName name="START_ACCESSORIES">#REF!</definedName>
    <definedName name="START_BRACING" localSheetId="17">#REF!</definedName>
    <definedName name="START_BRACING">#REF!</definedName>
    <definedName name="START_FRAMES" localSheetId="17">#REF!</definedName>
    <definedName name="START_FRAMES">#REF!</definedName>
    <definedName name="START_METALWORK" localSheetId="17">#REF!</definedName>
    <definedName name="START_METALWORK">#REF!</definedName>
    <definedName name="START_MISC" localSheetId="17">#REF!</definedName>
    <definedName name="START_MISC">#REF!</definedName>
    <definedName name="START_NOT_CONNECTED_WOOD_PRODUCTS" localSheetId="17">#REF!</definedName>
    <definedName name="START_NOT_CONNECTED_WOOD_PRODUCTS">#REF!</definedName>
    <definedName name="SUNDRY_ITEMS_TABLE">'Sundry Items'!$A$1</definedName>
    <definedName name="SUNDRY_ITEMS_TABLE_DEPTH">'Sundry Items'!$D$1</definedName>
    <definedName name="SUNDRY_ITEMS_TABLE_DESCRIPTION">'Sundry Items'!$G$1</definedName>
    <definedName name="SUNDRY_ITEMS_TABLE_FINAL_PRICE">'Sundry Items'!$H$1</definedName>
    <definedName name="SUNDRY_ITEMS_TABLE_LABEL">'Sundry Items'!$A$1</definedName>
    <definedName name="SUNDRY_ITEMS_TABLE_LENGTH">'Sundry Items'!$E$1</definedName>
    <definedName name="SUNDRY_ITEMS_TABLE_MATERIAL_NAME">'Sundry Items'!$B$1</definedName>
    <definedName name="SUNDRY_ITEMS_TABLE_QUOTE_SIZE">'Sundry Items'!$C$1</definedName>
    <definedName name="SUNDRY_ITEMS_TABLE_TYPE">'Sundry Items'!$F$1</definedName>
    <definedName name="SURFACES_TABLE">Surfaces!$A$1</definedName>
    <definedName name="SURFACES_TABLE_AREA">Surfaces!$E$1</definedName>
    <definedName name="SURFACES_TABLE_AREA_OUTSIDE_WALLS">Surfaces!$F$1</definedName>
    <definedName name="SURFACES_TABLE_CHAIN">Surfaces!$A$1</definedName>
    <definedName name="SURFACES_TABLE_GABLE">Surfaces!$G$1</definedName>
    <definedName name="SURFACES_TABLE_NAME">Surfaces!$B$1</definedName>
    <definedName name="SURFACES_TABLE_PITCH">Surfaces!$D$1</definedName>
    <definedName name="SURFACES_TABLE_TYPE">Surfaces!$C$1</definedName>
    <definedName name="TarifDétail" localSheetId="17">#REF!</definedName>
    <definedName name="TarifDétail">#REF!</definedName>
    <definedName name="TEMPLATE">'General Data'!$C$11</definedName>
    <definedName name="TIMBER_TABLE">Timber!$A$1</definedName>
    <definedName name="TIMBER_TABLE_DEPTH">Timber!$H$1</definedName>
    <definedName name="TIMBER_TABLE_FRAME">Timber!$A$1</definedName>
    <definedName name="TIMBER_TABLE_GRADE">Timber!$I$1</definedName>
    <definedName name="TIMBER_TABLE_LABEL">Timber!$B$1</definedName>
    <definedName name="TIMBER_TABLE_MATERIAL_NAME">Timber!$J$1</definedName>
    <definedName name="TIMBER_TABLE_MEMBER_LAYERS">Timber!$N$1</definedName>
    <definedName name="TIMBER_TABLE_OVERALL_LENGTH">Timber!$F$1</definedName>
    <definedName name="TIMBER_TABLE_PART_NUMBER">Timber!$M$1</definedName>
    <definedName name="TIMBER_TABLE_PRICE_M3">Timber!$L$1</definedName>
    <definedName name="TIMBER_TABLE_PRODUCT_CODE">Timber!$K$1</definedName>
    <definedName name="TIMBER_TABLE_QUANTITY">Timber!$C$1</definedName>
    <definedName name="TIMBER_TABLE_QUANTITY_PER_PLY">Timber!$D$1</definedName>
    <definedName name="TIMBER_TABLE_THICKNESS">Timber!$G$1</definedName>
    <definedName name="TIMBER_TABLE_TYPE">Timber!$E$1</definedName>
    <definedName name="TOTAL_ACCESSORIES" localSheetId="17">#REF!</definedName>
    <definedName name="TOTAL_ACCESSORIES">#REF!</definedName>
    <definedName name="TOTAL_BRACING" localSheetId="17">#REF!</definedName>
    <definedName name="TOTAL_BRACING">#REF!</definedName>
    <definedName name="TOTAL_EXCLUDING_VAT" localSheetId="17">#REF!</definedName>
    <definedName name="TOTAL_EXCLUDING_VAT">#REF!</definedName>
    <definedName name="TOTAL_FRAMES" localSheetId="17">#REF!</definedName>
    <definedName name="TOTAL_FRAMES">#REF!</definedName>
    <definedName name="TOTAL_INCLUDING_VAT" localSheetId="17">#REF!</definedName>
    <definedName name="TOTAL_INCLUDING_VAT">#REF!</definedName>
    <definedName name="TOTAL_METALWORK" localSheetId="17">#REF!</definedName>
    <definedName name="TOTAL_METALWORK">#REF!</definedName>
    <definedName name="TOTAL_MISC" localSheetId="17">#REF!</definedName>
    <definedName name="TOTAL_MISC">#REF!</definedName>
    <definedName name="TOTAL_NOT_CONNECTED_WOOD_PRODUCTS" localSheetId="17">#REF!</definedName>
    <definedName name="TOTAL_NOT_CONNECTED_WOOD_PRODUCTS">#REF!</definedName>
    <definedName name="TOTAL_TRANSPORTATION" localSheetId="17">#REF!</definedName>
    <definedName name="TOTAL_TRANSPORTATION">#REF!</definedName>
    <definedName name="TOTAL_WORKED_TIME">'General Data'!#REF!</definedName>
    <definedName name="VAT" localSheetId="17">#REF!</definedName>
    <definedName name="VAT">#REF!</definedName>
    <definedName name="VERTICAL_HEEL_OFFSET">'General Data'!$C$21</definedName>
    <definedName name="VERTICAL_HEEL_VERTICAL_HEIGHT">'General Data'!$C$22</definedName>
    <definedName name="WALL_PLATE_LAYBACK_FROM_OUTSIDE">'General Data'!$C$30</definedName>
    <definedName name="WALL_PLATE_WIDTH">'General Data'!$C$29</definedName>
    <definedName name="WALLS_TABLE">Walls!$A$1</definedName>
    <definedName name="WALLS_TABLE_CHAIN">Walls!$A$1</definedName>
    <definedName name="WALLS_TABLE_DESCRIPTION">Walls!$D$1</definedName>
    <definedName name="WALLS_TABLE_HEIGHT_BOTTOM">Walls!$K$1</definedName>
    <definedName name="WALLS_TABLE_HEIGHT_REFERENCE">Walls!$J$1</definedName>
    <definedName name="WALLS_TABLE_HORIZONTAL_LENGTH">Walls!$G$1</definedName>
    <definedName name="WALLS_TABLE_LENGTH">Walls!$F$1</definedName>
    <definedName name="WALLS_TABLE_NAME">Walls!$B$1</definedName>
    <definedName name="WALLS_TABLE_SUPPORTING">Walls!$E$1</definedName>
    <definedName name="WALLS_TABLE_TYPE">Walls!$C$1</definedName>
    <definedName name="WALLS_TABLE_WALLPLATE_DEPTH">Walls!$I$1</definedName>
    <definedName name="WALLS_TABLE_WALLPLATE_THICKNESS">Walls!$H$1</definedName>
    <definedName name="WIND_LOAD" localSheetId="17">'General Data'!#REF!</definedName>
    <definedName name="WIND_LOAD">'General Data'!#REF!</definedName>
    <definedName name="WIND_ZONE">'General Data'!$C$17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1" i="554" l="1"/>
  <c r="C102" i="554"/>
  <c r="C103" i="554"/>
  <c r="C104" i="554"/>
  <c r="C105" i="554"/>
  <c r="C106" i="554"/>
  <c r="C107" i="554"/>
  <c r="C108" i="554"/>
  <c r="C109" i="554"/>
  <c r="C110" i="554"/>
  <c r="C111" i="554"/>
  <c r="C112" i="554"/>
  <c r="C113" i="554"/>
  <c r="C114" i="554"/>
  <c r="C115" i="554"/>
  <c r="C116" i="554"/>
  <c r="C117" i="554"/>
  <c r="C118" i="554"/>
  <c r="C119" i="554"/>
  <c r="C120" i="554"/>
  <c r="C121" i="554"/>
  <c r="C122" i="554"/>
  <c r="C123" i="554"/>
  <c r="C124" i="554"/>
  <c r="C125" i="554"/>
  <c r="C126" i="554"/>
  <c r="C127" i="554"/>
  <c r="C128" i="554"/>
  <c r="C129" i="554"/>
  <c r="C130" i="554"/>
  <c r="C131" i="554"/>
  <c r="C132" i="554"/>
  <c r="C133" i="554"/>
  <c r="C134" i="554"/>
  <c r="C135" i="554"/>
  <c r="C136" i="554"/>
  <c r="C137" i="554"/>
  <c r="C138" i="554"/>
  <c r="C139" i="554"/>
  <c r="C140" i="554"/>
  <c r="C141" i="554"/>
  <c r="C142" i="554"/>
  <c r="C143" i="554"/>
  <c r="C144" i="554"/>
  <c r="C145" i="554"/>
  <c r="C146" i="554"/>
  <c r="C147" i="554"/>
  <c r="C148" i="554"/>
  <c r="C149" i="554"/>
  <c r="C150" i="554"/>
  <c r="C151" i="554"/>
  <c r="C152" i="554"/>
  <c r="C153" i="554"/>
  <c r="C154" i="554"/>
  <c r="C155" i="554"/>
  <c r="C156" i="554"/>
  <c r="C157" i="554"/>
  <c r="C158" i="554"/>
  <c r="C159" i="554"/>
  <c r="C160" i="554"/>
  <c r="C161" i="554"/>
  <c r="C162" i="554"/>
  <c r="C163" i="554"/>
  <c r="C164" i="554"/>
  <c r="C165" i="554"/>
  <c r="C166" i="554"/>
  <c r="C167" i="554"/>
  <c r="C168" i="554"/>
  <c r="C169" i="554"/>
  <c r="C170" i="554"/>
  <c r="C171" i="554"/>
  <c r="C172" i="554"/>
  <c r="C173" i="554"/>
  <c r="C174" i="554"/>
  <c r="C175" i="554"/>
  <c r="C176" i="554"/>
  <c r="C177" i="554"/>
  <c r="C178" i="554"/>
  <c r="C179" i="554"/>
  <c r="C180" i="554"/>
  <c r="C181" i="554"/>
  <c r="C182" i="554"/>
  <c r="C183" i="554"/>
  <c r="C184" i="554"/>
  <c r="C185" i="554"/>
  <c r="C186" i="554"/>
  <c r="C187" i="554"/>
  <c r="C188" i="554"/>
  <c r="C189" i="554"/>
  <c r="C190" i="554"/>
  <c r="C191" i="554"/>
  <c r="C192" i="554"/>
  <c r="C193" i="554"/>
  <c r="C194" i="554"/>
  <c r="C195" i="554"/>
  <c r="C196" i="554"/>
  <c r="C197" i="554"/>
  <c r="C198" i="554"/>
  <c r="C199" i="554"/>
  <c r="C200" i="554"/>
  <c r="C201" i="554"/>
  <c r="C202" i="554"/>
  <c r="C203" i="554"/>
  <c r="C204" i="554"/>
  <c r="C205" i="554"/>
  <c r="C206" i="554"/>
  <c r="C207" i="554"/>
  <c r="C208" i="554"/>
  <c r="C209" i="554"/>
  <c r="C210" i="554"/>
  <c r="C211" i="554"/>
  <c r="C212" i="554"/>
  <c r="C213" i="554"/>
  <c r="C214" i="554"/>
  <c r="C215" i="554"/>
  <c r="C216" i="554"/>
  <c r="C217" i="554"/>
  <c r="C218" i="554"/>
  <c r="C219" i="554"/>
  <c r="C220" i="554"/>
  <c r="C221" i="554"/>
  <c r="C222" i="554"/>
  <c r="C223" i="554"/>
  <c r="C224" i="554"/>
  <c r="C225" i="554"/>
  <c r="C226" i="554"/>
  <c r="C227" i="554"/>
  <c r="C228" i="554"/>
  <c r="C229" i="554"/>
  <c r="C230" i="554"/>
  <c r="C231" i="554"/>
  <c r="C232" i="554"/>
  <c r="C233" i="554"/>
  <c r="C234" i="554"/>
  <c r="C235" i="554"/>
  <c r="C236" i="554"/>
  <c r="C237" i="554"/>
  <c r="C238" i="554"/>
  <c r="C239" i="554"/>
  <c r="C240" i="554"/>
  <c r="C241" i="554"/>
  <c r="C242" i="554"/>
  <c r="C243" i="554"/>
  <c r="C244" i="554"/>
  <c r="C245" i="554"/>
  <c r="C246" i="554"/>
  <c r="C247" i="554"/>
  <c r="C248" i="554"/>
  <c r="C249" i="554"/>
  <c r="C250" i="554"/>
  <c r="C251" i="554"/>
  <c r="C252" i="554"/>
  <c r="C253" i="554"/>
  <c r="C254" i="554"/>
  <c r="C255" i="554"/>
  <c r="C256" i="554"/>
  <c r="C257" i="554"/>
  <c r="C258" i="554"/>
  <c r="C259" i="554"/>
  <c r="C260" i="554"/>
  <c r="C261" i="554"/>
  <c r="C262" i="554"/>
  <c r="C263" i="554"/>
  <c r="C264" i="554"/>
  <c r="C265" i="554"/>
  <c r="C266" i="554"/>
  <c r="C267" i="554"/>
  <c r="C268" i="554"/>
  <c r="C269" i="554"/>
  <c r="C270" i="554"/>
  <c r="C271" i="554"/>
  <c r="C272" i="554"/>
  <c r="C273" i="554"/>
  <c r="C274" i="554"/>
  <c r="C275" i="554"/>
  <c r="C276" i="554"/>
  <c r="C277" i="554"/>
  <c r="C278" i="554"/>
  <c r="C279" i="554"/>
  <c r="C280" i="554"/>
  <c r="C281" i="554"/>
  <c r="C282" i="554"/>
  <c r="C283" i="554"/>
  <c r="C284" i="554"/>
  <c r="C285" i="554"/>
  <c r="C286" i="554"/>
  <c r="C287" i="554"/>
  <c r="C288" i="554"/>
  <c r="C289" i="554"/>
  <c r="C290" i="554"/>
  <c r="C291" i="554"/>
  <c r="C292" i="554"/>
  <c r="C293" i="554"/>
  <c r="C294" i="554"/>
  <c r="C295" i="554"/>
  <c r="C296" i="554"/>
  <c r="C297" i="554"/>
  <c r="C298" i="554"/>
  <c r="C299" i="554"/>
  <c r="C300" i="554"/>
  <c r="C301" i="554"/>
  <c r="C302" i="554"/>
  <c r="C303" i="554"/>
  <c r="C304" i="554"/>
  <c r="C305" i="554"/>
  <c r="C306" i="554"/>
  <c r="C307" i="554"/>
  <c r="C308" i="554"/>
  <c r="C309" i="554"/>
  <c r="C310" i="554"/>
  <c r="C311" i="554"/>
  <c r="C312" i="554"/>
  <c r="C313" i="554"/>
  <c r="C314" i="554"/>
  <c r="C315" i="554"/>
  <c r="C316" i="554"/>
  <c r="C317" i="554"/>
  <c r="C318" i="554"/>
  <c r="C319" i="554"/>
  <c r="C320" i="554"/>
  <c r="C321" i="554"/>
  <c r="C322" i="554"/>
  <c r="C323" i="554"/>
  <c r="C324" i="554"/>
  <c r="C325" i="554"/>
  <c r="C326" i="554"/>
  <c r="C327" i="554"/>
  <c r="C328" i="554"/>
  <c r="C329" i="554"/>
  <c r="C330" i="554"/>
  <c r="C331" i="554"/>
  <c r="C332" i="554"/>
  <c r="C333" i="554"/>
  <c r="C334" i="554"/>
  <c r="C335" i="554"/>
  <c r="C336" i="554"/>
  <c r="C337" i="554"/>
  <c r="C338" i="554"/>
  <c r="C339" i="554"/>
  <c r="C340" i="554"/>
  <c r="C341" i="554"/>
  <c r="C342" i="554"/>
  <c r="C343" i="554"/>
  <c r="C344" i="554"/>
  <c r="C345" i="554"/>
  <c r="C346" i="554"/>
  <c r="C347" i="554"/>
  <c r="C348" i="554"/>
  <c r="C349" i="554"/>
  <c r="C350" i="554"/>
  <c r="C351" i="554"/>
  <c r="C352" i="554"/>
  <c r="C353" i="554"/>
  <c r="C354" i="554"/>
  <c r="C355" i="554"/>
  <c r="C356" i="554"/>
  <c r="C357" i="554"/>
  <c r="C358" i="554"/>
  <c r="C359" i="554"/>
  <c r="C360" i="554"/>
  <c r="C361" i="554"/>
  <c r="C362" i="554"/>
  <c r="C363" i="554"/>
  <c r="C364" i="554"/>
  <c r="C365" i="554"/>
  <c r="C366" i="554"/>
  <c r="C367" i="554"/>
  <c r="C368" i="554"/>
  <c r="C369" i="554"/>
  <c r="C370" i="554"/>
  <c r="C371" i="554"/>
  <c r="C372" i="554"/>
  <c r="C373" i="554"/>
  <c r="C374" i="554"/>
  <c r="C375" i="554"/>
  <c r="C376" i="554"/>
  <c r="C377" i="554"/>
  <c r="C378" i="554"/>
  <c r="C379" i="554"/>
  <c r="C380" i="554"/>
  <c r="C381" i="554"/>
  <c r="C382" i="554"/>
  <c r="C383" i="554"/>
  <c r="C384" i="554"/>
  <c r="C385" i="554"/>
  <c r="C386" i="554"/>
  <c r="C387" i="554"/>
  <c r="C388" i="554"/>
  <c r="C389" i="554"/>
  <c r="C390" i="554"/>
  <c r="C391" i="554"/>
  <c r="C392" i="554"/>
  <c r="C393" i="554"/>
  <c r="C394" i="554"/>
  <c r="C395" i="554"/>
  <c r="C396" i="554"/>
  <c r="C397" i="554"/>
  <c r="C398" i="554"/>
  <c r="C399" i="554"/>
  <c r="C400" i="554"/>
  <c r="C401" i="554"/>
  <c r="C402" i="554"/>
  <c r="C403" i="554"/>
  <c r="C404" i="554"/>
  <c r="C405" i="554"/>
  <c r="C406" i="554"/>
  <c r="C407" i="554"/>
  <c r="C408" i="554"/>
  <c r="C3" i="554"/>
  <c r="C4" i="554"/>
  <c r="C5" i="554"/>
  <c r="C6" i="554"/>
  <c r="C7" i="554"/>
  <c r="C8" i="554"/>
  <c r="C9" i="554"/>
  <c r="C10" i="554"/>
  <c r="C11" i="554"/>
  <c r="C12" i="554"/>
  <c r="C13" i="554"/>
  <c r="C14" i="554"/>
  <c r="C15" i="554"/>
  <c r="C16" i="554"/>
  <c r="C17" i="554"/>
  <c r="C18" i="554"/>
  <c r="C19" i="554"/>
  <c r="C20" i="554"/>
  <c r="C21" i="554"/>
  <c r="C22" i="554"/>
  <c r="C23" i="554"/>
  <c r="C24" i="554"/>
  <c r="C25" i="554"/>
  <c r="C26" i="554"/>
  <c r="C27" i="554"/>
  <c r="C28" i="554"/>
  <c r="C29" i="554"/>
  <c r="C30" i="554"/>
  <c r="C31" i="554"/>
  <c r="C32" i="554"/>
  <c r="C33" i="554"/>
  <c r="C34" i="554"/>
  <c r="C35" i="554"/>
  <c r="C36" i="554"/>
  <c r="C37" i="554"/>
  <c r="C38" i="554"/>
  <c r="C39" i="554"/>
  <c r="C40" i="554"/>
  <c r="C41" i="554"/>
  <c r="C42" i="554"/>
  <c r="C43" i="554"/>
  <c r="C44" i="554"/>
  <c r="C45" i="554"/>
  <c r="C46" i="554"/>
  <c r="C47" i="554"/>
  <c r="C48" i="554"/>
  <c r="C49" i="554"/>
  <c r="C50" i="554"/>
  <c r="C51" i="554"/>
  <c r="C52" i="554"/>
  <c r="C53" i="554"/>
  <c r="C54" i="554"/>
  <c r="C55" i="554"/>
  <c r="C56" i="554"/>
  <c r="C57" i="554"/>
  <c r="C58" i="554"/>
  <c r="C59" i="554"/>
  <c r="C60" i="554"/>
  <c r="C61" i="554"/>
  <c r="C62" i="554"/>
  <c r="C63" i="554"/>
  <c r="C64" i="554"/>
  <c r="C65" i="554"/>
  <c r="C66" i="554"/>
  <c r="C67" i="554"/>
  <c r="C68" i="554"/>
  <c r="C69" i="554"/>
  <c r="C70" i="554"/>
  <c r="C71" i="554"/>
  <c r="C72" i="554"/>
  <c r="C73" i="554"/>
  <c r="C74" i="554"/>
  <c r="C75" i="554"/>
  <c r="C76" i="554"/>
  <c r="C77" i="554"/>
  <c r="C78" i="554"/>
  <c r="C79" i="554"/>
  <c r="C80" i="554"/>
  <c r="C81" i="554"/>
  <c r="C82" i="554"/>
  <c r="C83" i="554"/>
  <c r="C84" i="554"/>
  <c r="C85" i="554"/>
  <c r="C86" i="554"/>
  <c r="C87" i="554"/>
  <c r="C88" i="554"/>
  <c r="C89" i="554"/>
  <c r="C90" i="554"/>
  <c r="C91" i="554"/>
  <c r="C92" i="554"/>
  <c r="C93" i="554"/>
  <c r="C94" i="554"/>
  <c r="C95" i="554"/>
  <c r="C96" i="554"/>
  <c r="C97" i="554"/>
  <c r="C98" i="554"/>
  <c r="C99" i="554"/>
  <c r="C100" i="554"/>
  <c r="C2" i="554"/>
  <c r="C1" i="554" l="1"/>
</calcChain>
</file>

<file path=xl/sharedStrings.xml><?xml version="1.0" encoding="utf-8"?>
<sst xmlns="http://schemas.openxmlformats.org/spreadsheetml/2006/main" count="6640" uniqueCount="1041">
  <si>
    <t>Designer</t>
  </si>
  <si>
    <t>Final client (future house owner)</t>
  </si>
  <si>
    <t>Project name</t>
  </si>
  <si>
    <t>Snow zone</t>
  </si>
  <si>
    <t>Pitch</t>
  </si>
  <si>
    <t>Heel type</t>
  </si>
  <si>
    <t>"Vertical heel"</t>
  </si>
  <si>
    <t>Offset</t>
  </si>
  <si>
    <t>Name</t>
  </si>
  <si>
    <t>Address</t>
  </si>
  <si>
    <t>Customer (client)</t>
  </si>
  <si>
    <t>Site</t>
  </si>
  <si>
    <t>Location</t>
  </si>
  <si>
    <t>Roof</t>
  </si>
  <si>
    <t>Ceiling</t>
  </si>
  <si>
    <t>Vertical height</t>
  </si>
  <si>
    <t>"Standard heel"</t>
  </si>
  <si>
    <t>Overhang</t>
  </si>
  <si>
    <t>Perpendicular height</t>
  </si>
  <si>
    <t>Wall plate</t>
  </si>
  <si>
    <t>Width</t>
  </si>
  <si>
    <t>Layback from outside</t>
  </si>
  <si>
    <t>Altitude</t>
  </si>
  <si>
    <t>Wind zone (region)</t>
  </si>
  <si>
    <t>Frame spacing</t>
  </si>
  <si>
    <t>VAT</t>
  </si>
  <si>
    <t>Label</t>
  </si>
  <si>
    <t>Type</t>
  </si>
  <si>
    <t>Span (m)</t>
  </si>
  <si>
    <t>Pitch (degree)</t>
  </si>
  <si>
    <t>Plies</t>
  </si>
  <si>
    <t>Parts</t>
  </si>
  <si>
    <t>Connector points</t>
  </si>
  <si>
    <t>Splices</t>
  </si>
  <si>
    <t>Truss</t>
  </si>
  <si>
    <t>Grade</t>
  </si>
  <si>
    <t>Description</t>
  </si>
  <si>
    <t>Production case</t>
  </si>
  <si>
    <t>Framing zone</t>
  </si>
  <si>
    <t>Production set</t>
  </si>
  <si>
    <t>Material name</t>
  </si>
  <si>
    <t>Gauge</t>
  </si>
  <si>
    <t>Supporting</t>
  </si>
  <si>
    <t>Gable</t>
  </si>
  <si>
    <t>Concrete floor</t>
  </si>
  <si>
    <t>Layout</t>
  </si>
  <si>
    <t>Storey</t>
  </si>
  <si>
    <t>Part Number</t>
  </si>
  <si>
    <t>Center (mm)</t>
  </si>
  <si>
    <t>Overall length (m)</t>
  </si>
  <si>
    <t>Thickness (mm)</t>
  </si>
  <si>
    <t>Depth (mm)</t>
  </si>
  <si>
    <t>Length (mm)</t>
  </si>
  <si>
    <t>Length (m)</t>
  </si>
  <si>
    <t>Height reference (mm)</t>
  </si>
  <si>
    <t>Height bottom (mm)</t>
  </si>
  <si>
    <t>Area (m²)</t>
  </si>
  <si>
    <t>Area outside walls (m²)</t>
  </si>
  <si>
    <t>Room height (m)</t>
  </si>
  <si>
    <t>Height (mm)</t>
  </si>
  <si>
    <t>Quote Size</t>
  </si>
  <si>
    <t>Chain</t>
  </si>
  <si>
    <t>Member layers</t>
  </si>
  <si>
    <t>Group</t>
  </si>
  <si>
    <t>Width (mm)</t>
  </si>
  <si>
    <t>Flange width (mm)</t>
  </si>
  <si>
    <t>Supplier</t>
  </si>
  <si>
    <t>Material Name</t>
  </si>
  <si>
    <t>Hanger</t>
  </si>
  <si>
    <t>Solution</t>
  </si>
  <si>
    <t>Status</t>
  </si>
  <si>
    <t>Fixing</t>
  </si>
  <si>
    <t>Bracket qty</t>
  </si>
  <si>
    <t>Failure reason</t>
  </si>
  <si>
    <t>Usage</t>
  </si>
  <si>
    <t>Quantity</t>
  </si>
  <si>
    <t>Object</t>
  </si>
  <si>
    <t>Ref</t>
  </si>
  <si>
    <t>Manufacturer</t>
  </si>
  <si>
    <t>Diameter (mm)</t>
  </si>
  <si>
    <t>Package</t>
  </si>
  <si>
    <t>Organ type</t>
  </si>
  <si>
    <t>Family</t>
  </si>
  <si>
    <t>Actual cube (m³)</t>
  </si>
  <si>
    <t>Stock Cube (m³)</t>
  </si>
  <si>
    <t>Wallplate thickness (mm)</t>
  </si>
  <si>
    <t>Wallplate depth (mm)</t>
  </si>
  <si>
    <t>Horizontal length (m)</t>
  </si>
  <si>
    <t>Dead load (N/m²)</t>
  </si>
  <si>
    <t>Quote group</t>
  </si>
  <si>
    <t>ID</t>
  </si>
  <si>
    <t>Project type</t>
  </si>
  <si>
    <t>"Extended bottom chord"</t>
  </si>
  <si>
    <t>Overall span</t>
  </si>
  <si>
    <t>Overall height</t>
  </si>
  <si>
    <t>Match group</t>
  </si>
  <si>
    <t>Match group master</t>
  </si>
  <si>
    <t>Attic</t>
  </si>
  <si>
    <t>Pressing time/instance</t>
  </si>
  <si>
    <t>"French perpendicular"</t>
  </si>
  <si>
    <t>Quant. roof segments</t>
  </si>
  <si>
    <t>Quant. ceiling segments</t>
  </si>
  <si>
    <t>On concrete</t>
  </si>
  <si>
    <t>Data path</t>
  </si>
  <si>
    <t>Nbr of supports</t>
  </si>
  <si>
    <t>Overhang From</t>
  </si>
  <si>
    <t>Overhang To</t>
  </si>
  <si>
    <t>Has stub From</t>
  </si>
  <si>
    <t>Has stub To</t>
  </si>
  <si>
    <t>Transportation Height</t>
  </si>
  <si>
    <t>Transportation Length</t>
  </si>
  <si>
    <t>Frame Part Transportation Sizes</t>
  </si>
  <si>
    <t>Connector area (dm²)</t>
  </si>
  <si>
    <t>Overallspan(mm)</t>
  </si>
  <si>
    <t>Overallheight(m)</t>
  </si>
  <si>
    <t>Frame</t>
  </si>
  <si>
    <t>Roof planes</t>
  </si>
  <si>
    <t>Habitability</t>
  </si>
  <si>
    <t>Fixing quantity</t>
  </si>
  <si>
    <t>Size</t>
  </si>
  <si>
    <t>Quantity (Full V)</t>
  </si>
  <si>
    <t>Quantity (Single)</t>
  </si>
  <si>
    <t>Price (Full V)</t>
  </si>
  <si>
    <t>Price (Single)</t>
  </si>
  <si>
    <t>Actual cube (m³) (Single)</t>
  </si>
  <si>
    <t>Stock Cube (m³) (Single)</t>
  </si>
  <si>
    <t>Connector area (dm²) (Single)</t>
  </si>
  <si>
    <t>Living area (m²)</t>
  </si>
  <si>
    <t>Quantity/ply</t>
  </si>
  <si>
    <t>Weight</t>
  </si>
  <si>
    <t>Frame label</t>
  </si>
  <si>
    <t>Wall panel window area</t>
  </si>
  <si>
    <t>Wall panel door area</t>
  </si>
  <si>
    <t>Wall panel area (excl openings)</t>
  </si>
  <si>
    <t>Saw set-up</t>
  </si>
  <si>
    <t>Cutting time/instance</t>
  </si>
  <si>
    <t>Press set-up</t>
  </si>
  <si>
    <t>Stocklength (m)</t>
  </si>
  <si>
    <t>Board name</t>
  </si>
  <si>
    <t>Weight (kg/m)</t>
  </si>
  <si>
    <t>Weight (kg)</t>
  </si>
  <si>
    <t>Wall panel assembly time (h)</t>
  </si>
  <si>
    <t>Product code</t>
  </si>
  <si>
    <t>Material</t>
  </si>
  <si>
    <t>Cut Width (mm)</t>
  </si>
  <si>
    <t>Cut Length (mm)</t>
  </si>
  <si>
    <t>Total parts</t>
  </si>
  <si>
    <t>Fabricator</t>
  </si>
  <si>
    <t>Template</t>
  </si>
  <si>
    <t>Room width</t>
  </si>
  <si>
    <t>Room height</t>
  </si>
  <si>
    <t>Sub category</t>
  </si>
  <si>
    <t>kg</t>
  </si>
  <si>
    <t>m³</t>
  </si>
  <si>
    <t>m²</t>
  </si>
  <si>
    <t>m</t>
  </si>
  <si>
    <t>Result</t>
  </si>
  <si>
    <t>Unit</t>
  </si>
  <si>
    <t>Site fixed</t>
  </si>
  <si>
    <t>Timber</t>
  </si>
  <si>
    <t>Circular timber</t>
  </si>
  <si>
    <t>LVL</t>
  </si>
  <si>
    <t>Glulam</t>
  </si>
  <si>
    <t>Total material volume</t>
  </si>
  <si>
    <t>Quantity single ply</t>
  </si>
  <si>
    <t>Family ID</t>
  </si>
  <si>
    <t>Type ID</t>
  </si>
  <si>
    <t>Pitch TCL (degree)</t>
  </si>
  <si>
    <t>Pitch TCR (degree)</t>
  </si>
  <si>
    <t>Press count (single)</t>
  </si>
  <si>
    <t>Timber count (single)</t>
  </si>
  <si>
    <t>Reductions (single)</t>
  </si>
  <si>
    <t>Housings (single)</t>
  </si>
  <si>
    <t>Holes (single)</t>
  </si>
  <si>
    <t>Cassette label</t>
  </si>
  <si>
    <t>Total material price</t>
  </si>
  <si>
    <t>Plates</t>
  </si>
  <si>
    <t>All wooden items</t>
  </si>
  <si>
    <t>Posi-Struts</t>
  </si>
  <si>
    <t>Price (R)</t>
  </si>
  <si>
    <t>Price per frame (R)</t>
  </si>
  <si>
    <t>Price (R/m³)</t>
  </si>
  <si>
    <t>Price (R/m)</t>
  </si>
  <si>
    <t>Price (R/m²)</t>
  </si>
  <si>
    <t>Final Price (R)</t>
  </si>
  <si>
    <t>Price/Package (R)</t>
  </si>
  <si>
    <t>Daley Tiley</t>
  </si>
  <si>
    <t>S04002-5</t>
  </si>
  <si>
    <t>Millennium Roofing Fabricator 2</t>
  </si>
  <si>
    <t>Millennium Roofing Template 2</t>
  </si>
  <si>
    <t>Non attic</t>
  </si>
  <si>
    <t>CUSTOMER</t>
  </si>
  <si>
    <t>South African</t>
  </si>
  <si>
    <t>User defined pressure</t>
  </si>
  <si>
    <t>Framing zone 1</t>
  </si>
  <si>
    <t>Framing zone 2</t>
  </si>
  <si>
    <t>Framing zone 3</t>
  </si>
  <si>
    <t>Framing zone 4</t>
  </si>
  <si>
    <t>Framing zone 5</t>
  </si>
  <si>
    <t>Framing zone 6</t>
  </si>
  <si>
    <t>Framing zone 7</t>
  </si>
  <si>
    <t>Framing zone 9</t>
  </si>
  <si>
    <t>Framing zone 10</t>
  </si>
  <si>
    <t>Framing zone 11</t>
  </si>
  <si>
    <t>Framing zone 12</t>
  </si>
  <si>
    <t>Framing zone 13</t>
  </si>
  <si>
    <t>Framing zone 14</t>
  </si>
  <si>
    <t>Framing zone 15</t>
  </si>
  <si>
    <t>Framing zone 16</t>
  </si>
  <si>
    <t>Framing zone 17</t>
  </si>
  <si>
    <t>Framing zone 18</t>
  </si>
  <si>
    <t>Sheeting zone 1</t>
  </si>
  <si>
    <t>Sheeting zone 2</t>
  </si>
  <si>
    <t>Sheeting zone 3</t>
  </si>
  <si>
    <t>Sheeting zone 4</t>
  </si>
  <si>
    <t>Sheeting zone 5</t>
  </si>
  <si>
    <t>Sheeting zone 6</t>
  </si>
  <si>
    <t>Roof run</t>
  </si>
  <si>
    <t>Valley</t>
  </si>
  <si>
    <t>Hip</t>
  </si>
  <si>
    <t>Louvred hip</t>
  </si>
  <si>
    <t>Sheeting macro</t>
  </si>
  <si>
    <t>Layout 1</t>
  </si>
  <si>
    <t>Storey 1</t>
  </si>
  <si>
    <t>Layout frame 1</t>
  </si>
  <si>
    <t>Layout frame 2</t>
  </si>
  <si>
    <t>Layout frame 3</t>
  </si>
  <si>
    <t>Layout frame 4</t>
  </si>
  <si>
    <t>Layout frame 5</t>
  </si>
  <si>
    <t>Layout frame 6</t>
  </si>
  <si>
    <t>Layout frame 7</t>
  </si>
  <si>
    <t>Layout frame 8</t>
  </si>
  <si>
    <t>Layout frame 9</t>
  </si>
  <si>
    <t>Layout frame 10</t>
  </si>
  <si>
    <t>Layout frame 11</t>
  </si>
  <si>
    <t>Layout frame 12</t>
  </si>
  <si>
    <t>Layout frame 13</t>
  </si>
  <si>
    <t>Layout frame 14</t>
  </si>
  <si>
    <t>Layout frame 15</t>
  </si>
  <si>
    <t>Layout frame 16</t>
  </si>
  <si>
    <t>Layout frame 17</t>
  </si>
  <si>
    <t>Layout frame 18</t>
  </si>
  <si>
    <t>Layout frame 19</t>
  </si>
  <si>
    <t>Layout frame 20</t>
  </si>
  <si>
    <t>Layout frame 21</t>
  </si>
  <si>
    <t>Layout frame 22</t>
  </si>
  <si>
    <t>Layout frame 23</t>
  </si>
  <si>
    <t>Layout frame 24</t>
  </si>
  <si>
    <t>Layout frame 25</t>
  </si>
  <si>
    <t>Layout frame 26</t>
  </si>
  <si>
    <t>Layout frame 27</t>
  </si>
  <si>
    <t>Layout frame 28</t>
  </si>
  <si>
    <t>Layout frame 29</t>
  </si>
  <si>
    <t>Layout frame 30</t>
  </si>
  <si>
    <t>Layout frame 31</t>
  </si>
  <si>
    <t>Layout frame 32</t>
  </si>
  <si>
    <t>Layout frame 33</t>
  </si>
  <si>
    <t>Layout frame 34</t>
  </si>
  <si>
    <t>Layout frame 35</t>
  </si>
  <si>
    <t>Layout frame 36</t>
  </si>
  <si>
    <t>Layout frame 37</t>
  </si>
  <si>
    <t>Layout frame 38</t>
  </si>
  <si>
    <t>Layout frame 39</t>
  </si>
  <si>
    <t>Layout frame 40</t>
  </si>
  <si>
    <t>Layout frame 41</t>
  </si>
  <si>
    <t>Layout frame 42</t>
  </si>
  <si>
    <t>Layout frame 43</t>
  </si>
  <si>
    <t>Layout frame 44</t>
  </si>
  <si>
    <t>Layout frame 45</t>
  </si>
  <si>
    <t>Layout frame 46</t>
  </si>
  <si>
    <t>Layout frame 47</t>
  </si>
  <si>
    <t>Layout frame 48</t>
  </si>
  <si>
    <t>Layout frame 49</t>
  </si>
  <si>
    <t>Layout frame 50</t>
  </si>
  <si>
    <t>Layout frame 51</t>
  </si>
  <si>
    <t>Layout frame 52</t>
  </si>
  <si>
    <t>Layout frame 53</t>
  </si>
  <si>
    <t>Layout frame 54</t>
  </si>
  <si>
    <t>Layout frame 55</t>
  </si>
  <si>
    <t>Layout frame 56</t>
  </si>
  <si>
    <t>Layout frame 58</t>
  </si>
  <si>
    <t>Layout frame 59</t>
  </si>
  <si>
    <t>Layout frame 60</t>
  </si>
  <si>
    <t>Layout frame 61</t>
  </si>
  <si>
    <t>Layout frame 62</t>
  </si>
  <si>
    <t>Layout frame 63</t>
  </si>
  <si>
    <t>Layout frame 65</t>
  </si>
  <si>
    <t>Layout frame 66</t>
  </si>
  <si>
    <t>Layout frame 67</t>
  </si>
  <si>
    <t>Layout frame 68</t>
  </si>
  <si>
    <t>Layout frame 69</t>
  </si>
  <si>
    <t>Layout frame 70</t>
  </si>
  <si>
    <t>Layout frame 71</t>
  </si>
  <si>
    <t>Layout frame 72</t>
  </si>
  <si>
    <t>Layout frame 73</t>
  </si>
  <si>
    <t>Layout frame 74</t>
  </si>
  <si>
    <t>Layout frame 75</t>
  </si>
  <si>
    <t>Layout frame 76</t>
  </si>
  <si>
    <t>Layout frame 77</t>
  </si>
  <si>
    <t>Layout frame 78</t>
  </si>
  <si>
    <t>Layout frame 79</t>
  </si>
  <si>
    <t>Layout frame 80</t>
  </si>
  <si>
    <t>Layout frame 81</t>
  </si>
  <si>
    <t>Layout frame 82</t>
  </si>
  <si>
    <t>Layout frame 83</t>
  </si>
  <si>
    <t>Layout frame 84</t>
  </si>
  <si>
    <t>Layout frame 85</t>
  </si>
  <si>
    <t>Layout frame 86</t>
  </si>
  <si>
    <t>Layout frame 87</t>
  </si>
  <si>
    <t>Layout frame 88</t>
  </si>
  <si>
    <t>Layout frame 89</t>
  </si>
  <si>
    <t>Layout frame 90</t>
  </si>
  <si>
    <t>Layout frame 91</t>
  </si>
  <si>
    <t>Layout frame 92</t>
  </si>
  <si>
    <t>Layout frame 93</t>
  </si>
  <si>
    <t>Layout frame 94</t>
  </si>
  <si>
    <t>Layout frame 95</t>
  </si>
  <si>
    <t>Layout frame 96</t>
  </si>
  <si>
    <t>Layout frame 97</t>
  </si>
  <si>
    <t>Layout frame 98</t>
  </si>
  <si>
    <t>Layout frame 99</t>
  </si>
  <si>
    <t>Layout frame 100</t>
  </si>
  <si>
    <t>Layout frame 101</t>
  </si>
  <si>
    <t>Layout frame 102</t>
  </si>
  <si>
    <t>Layout frame 103</t>
  </si>
  <si>
    <t>Layout frame 104</t>
  </si>
  <si>
    <t>Layout frame 105</t>
  </si>
  <si>
    <t>Layout frame 106</t>
  </si>
  <si>
    <t>Layout frame 107</t>
  </si>
  <si>
    <t>Layout frame 108</t>
  </si>
  <si>
    <t>Layout frame 109</t>
  </si>
  <si>
    <t>Layout frame 110</t>
  </si>
  <si>
    <t>Layout frame 111</t>
  </si>
  <si>
    <t>Layout frame 112</t>
  </si>
  <si>
    <t>Layout frame 113</t>
  </si>
  <si>
    <t>Layout frame 114</t>
  </si>
  <si>
    <t>Layout frame 115</t>
  </si>
  <si>
    <t>Layout frame 116</t>
  </si>
  <si>
    <t>Layout frame 117</t>
  </si>
  <si>
    <t>Layout frame 118</t>
  </si>
  <si>
    <t>Layout frame 119</t>
  </si>
  <si>
    <t>Layout frame 120</t>
  </si>
  <si>
    <t>Layout frame 121</t>
  </si>
  <si>
    <t>Layout frame 122</t>
  </si>
  <si>
    <t>Layout frame 123</t>
  </si>
  <si>
    <t>Layout frame 124</t>
  </si>
  <si>
    <t>Layout frame 125</t>
  </si>
  <si>
    <t>Layout frame 126</t>
  </si>
  <si>
    <t>Layout frame 127</t>
  </si>
  <si>
    <t>Layout frame 128</t>
  </si>
  <si>
    <t>Layout frame 129</t>
  </si>
  <si>
    <t>Layout frame 130</t>
  </si>
  <si>
    <t>Layout frame 131</t>
  </si>
  <si>
    <t>Layout frame 132</t>
  </si>
  <si>
    <t>Layout frame 133</t>
  </si>
  <si>
    <t>Layout frame 134</t>
  </si>
  <si>
    <t>Layout frame 135</t>
  </si>
  <si>
    <t>Layout frame 136</t>
  </si>
  <si>
    <t>Layout frame 137</t>
  </si>
  <si>
    <t>Layout frame 138</t>
  </si>
  <si>
    <t>Layout frame 139</t>
  </si>
  <si>
    <t>Layout frame 140</t>
  </si>
  <si>
    <t>Layout frame 141</t>
  </si>
  <si>
    <t>Layout frame 142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</si>
  <si>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</si>
  <si>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</si>
  <si>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</si>
  <si>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</si>
  <si>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</si>
  <si>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</si>
  <si>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</si>
  <si>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</si>
  <si>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</si>
  <si>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G2</t>
  </si>
  <si>
    <t>T12</t>
  </si>
  <si>
    <t>V2</t>
  </si>
  <si>
    <t>V1</t>
  </si>
  <si>
    <t>V5</t>
  </si>
  <si>
    <t>V4</t>
  </si>
  <si>
    <t>V7</t>
  </si>
  <si>
    <t>V6</t>
  </si>
  <si>
    <t>T10</t>
  </si>
  <si>
    <t>HG1</t>
  </si>
  <si>
    <t>H1</t>
  </si>
  <si>
    <t>J2</t>
  </si>
  <si>
    <t>J1</t>
  </si>
  <si>
    <t>OJG1</t>
  </si>
  <si>
    <t>OJ1</t>
  </si>
  <si>
    <t>OJ2</t>
  </si>
  <si>
    <t>R1</t>
  </si>
  <si>
    <t>T11</t>
  </si>
  <si>
    <t>HG2</t>
  </si>
  <si>
    <t>H2</t>
  </si>
  <si>
    <t>OJ3</t>
  </si>
  <si>
    <t>OJ4</t>
  </si>
  <si>
    <t>G1</t>
  </si>
  <si>
    <t>H3</t>
  </si>
  <si>
    <t>J3</t>
  </si>
  <si>
    <t>OJG2</t>
  </si>
  <si>
    <t>OJ5</t>
  </si>
  <si>
    <t>R2</t>
  </si>
  <si>
    <t>P1</t>
  </si>
  <si>
    <t>B1</t>
  </si>
  <si>
    <t>T13</t>
  </si>
  <si>
    <t>T14</t>
  </si>
  <si>
    <t>T15</t>
  </si>
  <si>
    <t>T16</t>
  </si>
  <si>
    <t>T17</t>
  </si>
  <si>
    <t>Infill</t>
  </si>
  <si>
    <t>Main</t>
  </si>
  <si>
    <t>Hipboard</t>
  </si>
  <si>
    <t>Hip mono</t>
  </si>
  <si>
    <t>Jack</t>
  </si>
  <si>
    <t>Rafter</t>
  </si>
  <si>
    <t>Purlin</t>
  </si>
  <si>
    <t>Binder</t>
  </si>
  <si>
    <t>5;17;40</t>
  </si>
  <si>
    <t>15;40</t>
  </si>
  <si>
    <t>3xG1</t>
  </si>
  <si>
    <t>4xG2</t>
  </si>
  <si>
    <t>2xT12</t>
  </si>
  <si>
    <t>2xHG1</t>
  </si>
  <si>
    <t>2xHG2</t>
  </si>
  <si>
    <t>B2</t>
  </si>
  <si>
    <t>W1</t>
  </si>
  <si>
    <t>W2</t>
  </si>
  <si>
    <t>W3</t>
  </si>
  <si>
    <t>W4</t>
  </si>
  <si>
    <t>W5</t>
  </si>
  <si>
    <t>E1</t>
  </si>
  <si>
    <t>WE1</t>
  </si>
  <si>
    <t>Bottom chord</t>
  </si>
  <si>
    <t>Top chord</t>
  </si>
  <si>
    <t>Web</t>
  </si>
  <si>
    <t>End vertical</t>
  </si>
  <si>
    <t>Wedge</t>
  </si>
  <si>
    <t>S5</t>
  </si>
  <si>
    <t>S7</t>
  </si>
  <si>
    <t>36 x 111 S5</t>
  </si>
  <si>
    <t>36 x 73 S5</t>
  </si>
  <si>
    <t>36 x 111 S7</t>
  </si>
  <si>
    <t>36 x 149 S5</t>
  </si>
  <si>
    <t>M20</t>
  </si>
  <si>
    <t>M5X10</t>
  </si>
  <si>
    <t>M10X10</t>
  </si>
  <si>
    <t>M10X13</t>
  </si>
  <si>
    <t>M10X15</t>
  </si>
  <si>
    <t>M8X13</t>
  </si>
  <si>
    <t>M8X20</t>
  </si>
  <si>
    <t>M10X18</t>
  </si>
  <si>
    <t>M13X13</t>
  </si>
  <si>
    <t>M13X15</t>
  </si>
  <si>
    <t>M10X20</t>
  </si>
  <si>
    <t>M8X10</t>
  </si>
  <si>
    <t>M8X15</t>
  </si>
  <si>
    <t>M5X13</t>
  </si>
  <si>
    <t>M5X18</t>
  </si>
  <si>
    <t>M15X18</t>
  </si>
  <si>
    <t>Fails geometry only</t>
  </si>
  <si>
    <t>Passes</t>
  </si>
  <si>
    <t>No hanger found</t>
  </si>
  <si>
    <t>Mitek SA Pty (Ltd)</t>
  </si>
  <si>
    <t>Special Hanger (Missing Hanger)</t>
  </si>
  <si>
    <t>Bracing Strap</t>
  </si>
  <si>
    <t>Truss Hangers</t>
  </si>
  <si>
    <t>Universal Nailed Connection</t>
  </si>
  <si>
    <t>Wall Support</t>
  </si>
  <si>
    <t>Missing Hanger</t>
  </si>
  <si>
    <t>TRUNC2</t>
  </si>
  <si>
    <t>ETH38x1MP Permfix Nailed</t>
  </si>
  <si>
    <t>ETH38x1SB Permfix Nailed and Bolted</t>
  </si>
  <si>
    <t>ETH38x1SP Permfix Nailed</t>
  </si>
  <si>
    <t>UNAIL-BC</t>
  </si>
  <si>
    <t>UNAIL-TC</t>
  </si>
  <si>
    <t>WIRE SKEW NAIL</t>
  </si>
  <si>
    <t>Special Hanger</t>
  </si>
  <si>
    <t>TRUNC2 Bracing Strap</t>
  </si>
  <si>
    <t>38mm Mini Hanger Permfix Nailed</t>
  </si>
  <si>
    <t>38mm Short Hanger Permfix Nailed &amp; Bolted</t>
  </si>
  <si>
    <t>38mm Short Hanger Permfix Nailed</t>
  </si>
  <si>
    <t>Universal Nailed</t>
  </si>
  <si>
    <t>100mm Wallplate Wire Nail</t>
  </si>
  <si>
    <t>Permfix Nailed</t>
  </si>
  <si>
    <t>Permfx Nailed 2 Ply</t>
  </si>
  <si>
    <t>Permfx Nailed 3 Ply</t>
  </si>
  <si>
    <t>Bolted 4 Ply</t>
  </si>
  <si>
    <t>Univ Nailed</t>
  </si>
  <si>
    <t>Wire Nailed</t>
  </si>
  <si>
    <t>Bracing 1</t>
  </si>
  <si>
    <t>Bracing 2</t>
  </si>
  <si>
    <t>Bracing 3</t>
  </si>
  <si>
    <t>Bracing 4</t>
  </si>
  <si>
    <t>Bracing 5</t>
  </si>
  <si>
    <t>Bracing 6</t>
  </si>
  <si>
    <t>Bracing 7</t>
  </si>
  <si>
    <t>Bracing 8</t>
  </si>
  <si>
    <t>Bracing 9</t>
  </si>
  <si>
    <t>Bracing 10</t>
  </si>
  <si>
    <t>Bracing 11</t>
  </si>
  <si>
    <t>Bracing 12</t>
  </si>
  <si>
    <t>Bracing 13</t>
  </si>
  <si>
    <t>Bracing 14</t>
  </si>
  <si>
    <t>Bracing 15</t>
  </si>
  <si>
    <t>Bracing 16</t>
  </si>
  <si>
    <t>Bracing 17</t>
  </si>
  <si>
    <t>Bracing 18</t>
  </si>
  <si>
    <t>Bracing 19</t>
  </si>
  <si>
    <t>Bracing 20</t>
  </si>
  <si>
    <t>Bracing 21</t>
  </si>
  <si>
    <t>Bracing 22</t>
  </si>
  <si>
    <t>Bracing 23</t>
  </si>
  <si>
    <t>Bracing 24</t>
  </si>
  <si>
    <t>Bracing 25</t>
  </si>
  <si>
    <t>Bracing 26</t>
  </si>
  <si>
    <t>Bracing 27</t>
  </si>
  <si>
    <t>Bracing 28</t>
  </si>
  <si>
    <t>Bracing 29</t>
  </si>
  <si>
    <t>Bracing 30</t>
  </si>
  <si>
    <t>Bracing 31</t>
  </si>
  <si>
    <t>Bracing 32</t>
  </si>
  <si>
    <t>Bracing 33</t>
  </si>
  <si>
    <t>Bracing 34</t>
  </si>
  <si>
    <t>Bracing 35</t>
  </si>
  <si>
    <t>Bracing 36</t>
  </si>
  <si>
    <t>Bracing 37</t>
  </si>
  <si>
    <t>Bracing 38</t>
  </si>
  <si>
    <t>Bracing 39</t>
  </si>
  <si>
    <t>Bracing 40</t>
  </si>
  <si>
    <t>Bracing 41</t>
  </si>
  <si>
    <t>Bracing 42</t>
  </si>
  <si>
    <t>Bracing 43</t>
  </si>
  <si>
    <t>Bracing 44</t>
  </si>
  <si>
    <t>Bracing 45</t>
  </si>
  <si>
    <t>Bracing 46</t>
  </si>
  <si>
    <t>Bracing 47</t>
  </si>
  <si>
    <t>Bracing 48</t>
  </si>
  <si>
    <t>Bracing 49</t>
  </si>
  <si>
    <t>Bracing 50</t>
  </si>
  <si>
    <t>Bracing 51</t>
  </si>
  <si>
    <t>Bracing 52</t>
  </si>
  <si>
    <t>Bracing 53</t>
  </si>
  <si>
    <t>Bracing 54</t>
  </si>
  <si>
    <t>Bracing 55</t>
  </si>
  <si>
    <t>Bracing 56</t>
  </si>
  <si>
    <t>Bracing 57</t>
  </si>
  <si>
    <t>Bracing 58</t>
  </si>
  <si>
    <t>Bracing 59</t>
  </si>
  <si>
    <t>Bracing 60</t>
  </si>
  <si>
    <t>Bracing 61</t>
  </si>
  <si>
    <t>Bracing 62</t>
  </si>
  <si>
    <t>Bracing 63</t>
  </si>
  <si>
    <t>Bracing 64</t>
  </si>
  <si>
    <t>Bracing 65</t>
  </si>
  <si>
    <t>Bracing 66</t>
  </si>
  <si>
    <t>Bracing 67</t>
  </si>
  <si>
    <t>Bracing 68</t>
  </si>
  <si>
    <t>Bracing 69</t>
  </si>
  <si>
    <t>Bracing 70</t>
  </si>
  <si>
    <t>Bracing 71</t>
  </si>
  <si>
    <t>Bracing 72</t>
  </si>
  <si>
    <t>Bracing 73</t>
  </si>
  <si>
    <t>Bracing 74</t>
  </si>
  <si>
    <t>Bracing 75</t>
  </si>
  <si>
    <t>Bracing 76</t>
  </si>
  <si>
    <t>Bracing 77</t>
  </si>
  <si>
    <t>Bracing 78</t>
  </si>
  <si>
    <t>Bracing 79</t>
  </si>
  <si>
    <t>Bracing 80</t>
  </si>
  <si>
    <t>Bracing 81</t>
  </si>
  <si>
    <t>Bracing 82</t>
  </si>
  <si>
    <t>Bracing 83</t>
  </si>
  <si>
    <t>Bracing 84</t>
  </si>
  <si>
    <t>Bracing 85</t>
  </si>
  <si>
    <t>Bracing 86</t>
  </si>
  <si>
    <t>Bracing 87</t>
  </si>
  <si>
    <t>Bracing 88</t>
  </si>
  <si>
    <t>Bracing 89</t>
  </si>
  <si>
    <t>Bracing 90</t>
  </si>
  <si>
    <t>Bracing 91</t>
  </si>
  <si>
    <t>Bracing 92</t>
  </si>
  <si>
    <t>Bracing 93</t>
  </si>
  <si>
    <t>Bracing 94</t>
  </si>
  <si>
    <t>Bracing 95</t>
  </si>
  <si>
    <t>Bracing 96</t>
  </si>
  <si>
    <t>Bracing 97</t>
  </si>
  <si>
    <t>Bracing 98</t>
  </si>
  <si>
    <t>Bracing 99</t>
  </si>
  <si>
    <t>Bracing 100</t>
  </si>
  <si>
    <t>Bracing 101</t>
  </si>
  <si>
    <t>Bracing 102</t>
  </si>
  <si>
    <t>Bracing 103</t>
  </si>
  <si>
    <t>Bracing 104</t>
  </si>
  <si>
    <t>Bracing 105</t>
  </si>
  <si>
    <t>Bracing 106</t>
  </si>
  <si>
    <t>Bracing 107</t>
  </si>
  <si>
    <t>Bracing 108</t>
  </si>
  <si>
    <t>Bracing 109</t>
  </si>
  <si>
    <t>Bracing 110</t>
  </si>
  <si>
    <t>Bracing 111</t>
  </si>
  <si>
    <t>Bracing 112</t>
  </si>
  <si>
    <t>Bracing 113</t>
  </si>
  <si>
    <t>Bracing 114</t>
  </si>
  <si>
    <t>Bracing 115</t>
  </si>
  <si>
    <t>Bracing 116</t>
  </si>
  <si>
    <t>Bracing 117</t>
  </si>
  <si>
    <t>Bracing 118</t>
  </si>
  <si>
    <t>Bracing 119</t>
  </si>
  <si>
    <t>Bracing 120</t>
  </si>
  <si>
    <t>Bracing 121</t>
  </si>
  <si>
    <t>Bracing 122</t>
  </si>
  <si>
    <t>Bracing 123</t>
  </si>
  <si>
    <t>Bracing 124</t>
  </si>
  <si>
    <t>Bracing 125</t>
  </si>
  <si>
    <t>Bracing 126</t>
  </si>
  <si>
    <t>Bracing 127</t>
  </si>
  <si>
    <t>Bracing 128</t>
  </si>
  <si>
    <t>Bracing 129</t>
  </si>
  <si>
    <t>Bracing 130</t>
  </si>
  <si>
    <t>Bracing 131</t>
  </si>
  <si>
    <t>Bracing 132</t>
  </si>
  <si>
    <t>Bracing 133</t>
  </si>
  <si>
    <t>Bracing 134</t>
  </si>
  <si>
    <t>Bracing 135</t>
  </si>
  <si>
    <t>Bracing 136</t>
  </si>
  <si>
    <t>Bracing 137</t>
  </si>
  <si>
    <t>Bracing 138</t>
  </si>
  <si>
    <t>Bracing 139</t>
  </si>
  <si>
    <t>Bracing 140</t>
  </si>
  <si>
    <t>Bracing 141</t>
  </si>
  <si>
    <t>Bracing 142</t>
  </si>
  <si>
    <t>Bracing 143</t>
  </si>
  <si>
    <t>Bracing 144</t>
  </si>
  <si>
    <t>Bracing 145</t>
  </si>
  <si>
    <t>Bracing 146</t>
  </si>
  <si>
    <t>Bracing 147</t>
  </si>
  <si>
    <t>Bracing 148</t>
  </si>
  <si>
    <t>Bracing 149</t>
  </si>
  <si>
    <t>Bracing 150</t>
  </si>
  <si>
    <t>Bracing 151</t>
  </si>
  <si>
    <t>Bracing 152</t>
  </si>
  <si>
    <t>Bracing 153</t>
  </si>
  <si>
    <t>Bracing 154</t>
  </si>
  <si>
    <t>Bracing 155</t>
  </si>
  <si>
    <t>Bracing 156</t>
  </si>
  <si>
    <t>Bracing 157</t>
  </si>
  <si>
    <t>Bracing 158</t>
  </si>
  <si>
    <t>Bracing 159</t>
  </si>
  <si>
    <t>Bracing 160</t>
  </si>
  <si>
    <t>Bracing 161</t>
  </si>
  <si>
    <t>Bracing 162</t>
  </si>
  <si>
    <t>Bracing 163</t>
  </si>
  <si>
    <t>Bracing 164</t>
  </si>
  <si>
    <t>Bracing 165</t>
  </si>
  <si>
    <t>Bracing 166</t>
  </si>
  <si>
    <t>Bracing 167</t>
  </si>
  <si>
    <t>Bracing 168</t>
  </si>
  <si>
    <t>Bracing 169</t>
  </si>
  <si>
    <t>Bracing 170</t>
  </si>
  <si>
    <t>Bracing 171</t>
  </si>
  <si>
    <t>Bracing 172</t>
  </si>
  <si>
    <t>Bracing 173</t>
  </si>
  <si>
    <t>Bracing 174</t>
  </si>
  <si>
    <t>Bracing 175</t>
  </si>
  <si>
    <t>Bracing 176</t>
  </si>
  <si>
    <t>Bracing 177</t>
  </si>
  <si>
    <t>Bracing 178</t>
  </si>
  <si>
    <t>Bracing 179</t>
  </si>
  <si>
    <t>Bracing 180</t>
  </si>
  <si>
    <t>Bracing 181</t>
  </si>
  <si>
    <t>Bracing 182</t>
  </si>
  <si>
    <t>Bracing 183</t>
  </si>
  <si>
    <t>Bracing 184</t>
  </si>
  <si>
    <t>Bracing 185</t>
  </si>
  <si>
    <t>Bracing 186</t>
  </si>
  <si>
    <t>Bracing 187</t>
  </si>
  <si>
    <t>Bracing 188</t>
  </si>
  <si>
    <t>Bracing 189</t>
  </si>
  <si>
    <t>Bracing 190</t>
  </si>
  <si>
    <t>Bracing 191</t>
  </si>
  <si>
    <t>Bracing 192</t>
  </si>
  <si>
    <t>Bracing 193</t>
  </si>
  <si>
    <t>Bracing 194</t>
  </si>
  <si>
    <t>Bracing 195</t>
  </si>
  <si>
    <t>Bracing 196</t>
  </si>
  <si>
    <t>Bracing 197</t>
  </si>
  <si>
    <t>Bracing 198</t>
  </si>
  <si>
    <t>Bracing 199</t>
  </si>
  <si>
    <t>Bracing 200</t>
  </si>
  <si>
    <t>Bracing 201</t>
  </si>
  <si>
    <t>Bracing 202</t>
  </si>
  <si>
    <t>Bracing 203</t>
  </si>
  <si>
    <t>Bracing 204</t>
  </si>
  <si>
    <t>Bracing 205</t>
  </si>
  <si>
    <t>Bracing 206</t>
  </si>
  <si>
    <t>Bracing 207</t>
  </si>
  <si>
    <t>Bracing 208</t>
  </si>
  <si>
    <t>Bracing 209</t>
  </si>
  <si>
    <t>Bracing 210</t>
  </si>
  <si>
    <t>Bracing 211</t>
  </si>
  <si>
    <t>Bracing 212</t>
  </si>
  <si>
    <t>Bracing 213</t>
  </si>
  <si>
    <t>Bracing 214</t>
  </si>
  <si>
    <t>Bracing 215</t>
  </si>
  <si>
    <t>Bracing 216</t>
  </si>
  <si>
    <t>Bracing 217</t>
  </si>
  <si>
    <t>Bracing 218</t>
  </si>
  <si>
    <t>Bracing 219</t>
  </si>
  <si>
    <t>Bracing 220</t>
  </si>
  <si>
    <t>Bracing 221</t>
  </si>
  <si>
    <t>Bracing 222</t>
  </si>
  <si>
    <t>Bracing 223</t>
  </si>
  <si>
    <t>Bracing 224</t>
  </si>
  <si>
    <t>Bracing 225</t>
  </si>
  <si>
    <t>Bracing 226</t>
  </si>
  <si>
    <t>Bracing 227</t>
  </si>
  <si>
    <t>Bracing 228</t>
  </si>
  <si>
    <t>Bracing 229</t>
  </si>
  <si>
    <t>Bracing 230</t>
  </si>
  <si>
    <t>Bracing 231</t>
  </si>
  <si>
    <t>Bracing 232</t>
  </si>
  <si>
    <t>Bracing 233</t>
  </si>
  <si>
    <t>Bracing 234</t>
  </si>
  <si>
    <t>Bracing 235</t>
  </si>
  <si>
    <t>Bracing 236</t>
  </si>
  <si>
    <t>Bracing 237</t>
  </si>
  <si>
    <t>Bracing 238</t>
  </si>
  <si>
    <t>Bracing 239</t>
  </si>
  <si>
    <t>Bracing 240</t>
  </si>
  <si>
    <t>Bracing 241</t>
  </si>
  <si>
    <t>Bracing 242</t>
  </si>
  <si>
    <t>Bracing 243</t>
  </si>
  <si>
    <t>Bracing 244</t>
  </si>
  <si>
    <t>Bracing 245</t>
  </si>
  <si>
    <t>Bracing 246</t>
  </si>
  <si>
    <t>Bracing 247</t>
  </si>
  <si>
    <t>Bracing 248</t>
  </si>
  <si>
    <t>Bracing 249</t>
  </si>
  <si>
    <t>Bracing 250</t>
  </si>
  <si>
    <t>Bracing 251</t>
  </si>
  <si>
    <t>Bracing 252</t>
  </si>
  <si>
    <t>Bracing 253</t>
  </si>
  <si>
    <t>Bracing 254</t>
  </si>
  <si>
    <t>Bracing 255</t>
  </si>
  <si>
    <t>Bracing 256</t>
  </si>
  <si>
    <t>Bracing 257</t>
  </si>
  <si>
    <t>Bracing 258</t>
  </si>
  <si>
    <t>Bracing 259</t>
  </si>
  <si>
    <t>Bracing 260</t>
  </si>
  <si>
    <t>Bracing 261</t>
  </si>
  <si>
    <t>Bracing 262</t>
  </si>
  <si>
    <t>Bracing 263</t>
  </si>
  <si>
    <t>Bracing 264</t>
  </si>
  <si>
    <t>Bracing 265</t>
  </si>
  <si>
    <t>Bracing 266</t>
  </si>
  <si>
    <t>Bracing 267</t>
  </si>
  <si>
    <t>Bracing 268</t>
  </si>
  <si>
    <t>Bracing 269</t>
  </si>
  <si>
    <t>Bracing 270</t>
  </si>
  <si>
    <t>Bracing 271</t>
  </si>
  <si>
    <t>Bracing 272</t>
  </si>
  <si>
    <t>Bracing 273</t>
  </si>
  <si>
    <t>Bracing 274</t>
  </si>
  <si>
    <t>Bracing 275</t>
  </si>
  <si>
    <t>Bracing 276</t>
  </si>
  <si>
    <t>Bracing 277</t>
  </si>
  <si>
    <t>Bracing 278</t>
  </si>
  <si>
    <t>Bracing 279</t>
  </si>
  <si>
    <t>Bracing 280</t>
  </si>
  <si>
    <t>Bracing 281</t>
  </si>
  <si>
    <t>Bracing 282</t>
  </si>
  <si>
    <t>Bracing 283</t>
  </si>
  <si>
    <t>Bracing 284</t>
  </si>
  <si>
    <t>Bracing 285</t>
  </si>
  <si>
    <t>Bracing 286</t>
  </si>
  <si>
    <t>Bracing 287</t>
  </si>
  <si>
    <t>Bracing 288</t>
  </si>
  <si>
    <t>Bracing 289</t>
  </si>
  <si>
    <t>Bracing 290</t>
  </si>
  <si>
    <t>Bracing 291</t>
  </si>
  <si>
    <t>Bracing 292</t>
  </si>
  <si>
    <t>Bracing 293</t>
  </si>
  <si>
    <t>Bracing 294</t>
  </si>
  <si>
    <t>Bracing 295</t>
  </si>
  <si>
    <t>Bracing 296</t>
  </si>
  <si>
    <t>Bracing 297</t>
  </si>
  <si>
    <t>Bracing 298</t>
  </si>
  <si>
    <t>Bracing 299</t>
  </si>
  <si>
    <t>Bracing 300</t>
  </si>
  <si>
    <t>Bracing 301</t>
  </si>
  <si>
    <t>Bracing 302</t>
  </si>
  <si>
    <t>Bracing 303</t>
  </si>
  <si>
    <t>Bracing 304</t>
  </si>
  <si>
    <t>Bracing 305</t>
  </si>
  <si>
    <t>Bracing 306</t>
  </si>
  <si>
    <t>Bracing 307</t>
  </si>
  <si>
    <t>Bracing 308</t>
  </si>
  <si>
    <t>Bracing 309</t>
  </si>
  <si>
    <t>Bracing 310</t>
  </si>
  <si>
    <t>Bracing 311</t>
  </si>
  <si>
    <t>Bracing 312</t>
  </si>
  <si>
    <t>Bracing 313</t>
  </si>
  <si>
    <t>Bracing 314</t>
  </si>
  <si>
    <t>Bracing 315</t>
  </si>
  <si>
    <t>Bracing 316</t>
  </si>
  <si>
    <t>Bracing 317</t>
  </si>
  <si>
    <t>Bracing 318</t>
  </si>
  <si>
    <t>Bracing 319</t>
  </si>
  <si>
    <t>Bracing 320</t>
  </si>
  <si>
    <t>Bracing 321</t>
  </si>
  <si>
    <t>Bracing 322</t>
  </si>
  <si>
    <t>Bracing 323</t>
  </si>
  <si>
    <t>Bracing 324</t>
  </si>
  <si>
    <t>Bracing 325</t>
  </si>
  <si>
    <t>Bracing 326</t>
  </si>
  <si>
    <t>Bracing 327</t>
  </si>
  <si>
    <t>Bracing 328</t>
  </si>
  <si>
    <t>Bracing 329</t>
  </si>
  <si>
    <t>Bracing 330</t>
  </si>
  <si>
    <t>Bracing 331</t>
  </si>
  <si>
    <t>Bracing 332</t>
  </si>
  <si>
    <t>Bracing 333</t>
  </si>
  <si>
    <t>Bracing 334</t>
  </si>
  <si>
    <t>Bracing 335</t>
  </si>
  <si>
    <t>Bracing 336</t>
  </si>
  <si>
    <t>Bracing 337</t>
  </si>
  <si>
    <t>Bracing 338</t>
  </si>
  <si>
    <t>Bracing 339</t>
  </si>
  <si>
    <t>Bracing 340</t>
  </si>
  <si>
    <t>Bracing 341</t>
  </si>
  <si>
    <t>Bracing 342</t>
  </si>
  <si>
    <t>Bracing 343</t>
  </si>
  <si>
    <t>Bracing 344</t>
  </si>
  <si>
    <t>Bracing 345</t>
  </si>
  <si>
    <t>Bracing 346</t>
  </si>
  <si>
    <t>Bracing 347</t>
  </si>
  <si>
    <t>Bracing 348</t>
  </si>
  <si>
    <t>Bracing 349</t>
  </si>
  <si>
    <t>Bracing 350</t>
  </si>
  <si>
    <t>Bracing 351</t>
  </si>
  <si>
    <t>Bracing 352</t>
  </si>
  <si>
    <t>Bracing 353</t>
  </si>
  <si>
    <t>Bracing 354</t>
  </si>
  <si>
    <t>Bracing 355</t>
  </si>
  <si>
    <t>Bracing 356</t>
  </si>
  <si>
    <t>Bracing 357</t>
  </si>
  <si>
    <t>Bracing 358</t>
  </si>
  <si>
    <t>WB Web runner X brace - single</t>
  </si>
  <si>
    <t>WR Web runner</t>
  </si>
  <si>
    <t>BCR Bottom chord runner</t>
  </si>
  <si>
    <t>BCB Bottom chord diag.</t>
  </si>
  <si>
    <t>RBS Rafter diag. - Sheets</t>
  </si>
  <si>
    <t>VL Valley longitudinal</t>
  </si>
  <si>
    <t>PUR Purlin</t>
  </si>
  <si>
    <t>73 x 48 S5</t>
  </si>
  <si>
    <t>Wall 1</t>
  </si>
  <si>
    <t>Wall 2</t>
  </si>
  <si>
    <t>Wall 3</t>
  </si>
  <si>
    <t>Wall 4</t>
  </si>
  <si>
    <t>Wall 5</t>
  </si>
  <si>
    <t>Wall 6</t>
  </si>
  <si>
    <t>Wall 7</t>
  </si>
  <si>
    <t>Wall 8</t>
  </si>
  <si>
    <t>Wall 14</t>
  </si>
  <si>
    <t>Wall 15</t>
  </si>
  <si>
    <t>Wall 16</t>
  </si>
  <si>
    <t>Wall 17</t>
  </si>
  <si>
    <t>Wall 23</t>
  </si>
  <si>
    <t>Wall 24</t>
  </si>
  <si>
    <t>Wall 13</t>
  </si>
  <si>
    <t>Wall 19</t>
  </si>
  <si>
    <t>Wall 20</t>
  </si>
  <si>
    <t>Wall 21</t>
  </si>
  <si>
    <t>Wall 22</t>
  </si>
  <si>
    <t>Wall 9</t>
  </si>
  <si>
    <t>Wall 10</t>
  </si>
  <si>
    <t>Wall 11</t>
  </si>
  <si>
    <t>Wall 12</t>
  </si>
  <si>
    <t>Wall 18</t>
  </si>
  <si>
    <t>Wall 25</t>
  </si>
  <si>
    <t>Wall 26</t>
  </si>
  <si>
    <t>Wall 27</t>
  </si>
  <si>
    <t>Wall 28</t>
  </si>
  <si>
    <t>Wall 29</t>
  </si>
  <si>
    <t>Wall 30</t>
  </si>
  <si>
    <t>Wall 31</t>
  </si>
  <si>
    <t>Wall 32</t>
  </si>
  <si>
    <t>Wall 33</t>
  </si>
  <si>
    <t>Wall 34</t>
  </si>
  <si>
    <t>Wall 35</t>
  </si>
  <si>
    <t>Wall 36</t>
  </si>
  <si>
    <t>Wall 41</t>
  </si>
  <si>
    <t>Wall 42</t>
  </si>
  <si>
    <t>Wall 43</t>
  </si>
  <si>
    <t>Wall 44</t>
  </si>
  <si>
    <t>Wall 45</t>
  </si>
  <si>
    <t>Wall 46</t>
  </si>
  <si>
    <t>Wall 47</t>
  </si>
  <si>
    <t>Wall 48</t>
  </si>
  <si>
    <t>Wall 49</t>
  </si>
  <si>
    <t>Outer wall</t>
  </si>
  <si>
    <t>Inner wall</t>
  </si>
  <si>
    <t>Chimney</t>
  </si>
  <si>
    <t>230mm Ext LB Wall</t>
  </si>
  <si>
    <t>230mm Ext NLB Wall</t>
  </si>
  <si>
    <t>230mm Ext Stub LB Wall</t>
  </si>
  <si>
    <t>230mm Int LB Wall</t>
  </si>
  <si>
    <t>230mm Chimney Wall</t>
  </si>
  <si>
    <t>230mm Int NLB Wall</t>
  </si>
  <si>
    <t>Roof surface 10</t>
  </si>
  <si>
    <t>Roof surface 12</t>
  </si>
  <si>
    <t>Roof surface 14</t>
  </si>
  <si>
    <t>Roof surface 28</t>
  </si>
  <si>
    <t>Roof surface 30</t>
  </si>
  <si>
    <t>Roof surface 31</t>
  </si>
  <si>
    <t>Roof surface 5</t>
  </si>
  <si>
    <t>Roof surface 6</t>
  </si>
  <si>
    <t>Roof surface 7</t>
  </si>
  <si>
    <t>Roof surface 1</t>
  </si>
  <si>
    <t>Roof surface 11</t>
  </si>
  <si>
    <t>Roof surface 13</t>
  </si>
  <si>
    <t>Roof surface 2</t>
  </si>
  <si>
    <t>Roof surface 27</t>
  </si>
  <si>
    <t>Roof surface 29</t>
  </si>
  <si>
    <t>Roof surface 3</t>
  </si>
  <si>
    <t>Roof surface 4</t>
  </si>
  <si>
    <t>Roof surface 8</t>
  </si>
  <si>
    <t>Roof surface 9</t>
  </si>
  <si>
    <t>Roof surface 15</t>
  </si>
  <si>
    <t>Roof surface 16</t>
  </si>
  <si>
    <t>Roof surface 18</t>
  </si>
  <si>
    <t>Roof surface 17</t>
  </si>
  <si>
    <t>Roof surface 19</t>
  </si>
  <si>
    <t>Roof surface 21</t>
  </si>
  <si>
    <t>Roof surface 22</t>
  </si>
  <si>
    <t>Roof surface 20</t>
  </si>
  <si>
    <t>Roof surface 24</t>
  </si>
  <si>
    <t>Roof surface 26</t>
  </si>
  <si>
    <t>Embedded surface 2</t>
  </si>
  <si>
    <t>Embedded surface 3</t>
  </si>
  <si>
    <t>Roof surface 23</t>
  </si>
  <si>
    <t>Roof surface 23_Emb</t>
  </si>
  <si>
    <t>Roof surface 23_Emb 1</t>
  </si>
  <si>
    <t>Roof surface 25</t>
  </si>
  <si>
    <t>Roof surface 41</t>
  </si>
  <si>
    <t>Roof surface 47</t>
  </si>
  <si>
    <t>Roof surface 40</t>
  </si>
  <si>
    <t>Roof surface 42</t>
  </si>
  <si>
    <t>Roof surface 43</t>
  </si>
  <si>
    <t>Roof surface 44</t>
  </si>
  <si>
    <t>Roof surface 45</t>
  </si>
  <si>
    <t>Roof surface 46</t>
  </si>
  <si>
    <t>Roof surface 48</t>
  </si>
  <si>
    <t>Roof surface 49</t>
  </si>
  <si>
    <t>Roof surface 33</t>
  </si>
  <si>
    <t>Roof surface 35</t>
  </si>
  <si>
    <t>Embedded surface 1</t>
  </si>
  <si>
    <t>Roof surface 34</t>
  </si>
  <si>
    <t>Roof surface 36</t>
  </si>
  <si>
    <t>Roof surface 36_Emb</t>
  </si>
  <si>
    <t>Roof surface 51</t>
  </si>
  <si>
    <t>Roof surface 54</t>
  </si>
  <si>
    <t>Roof surface 50</t>
  </si>
  <si>
    <t>Roof surface 53</t>
  </si>
  <si>
    <t>Roof surface 52</t>
  </si>
  <si>
    <t>Eave line 1</t>
  </si>
  <si>
    <t>Eave line 11</t>
  </si>
  <si>
    <t>Eave line 13</t>
  </si>
  <si>
    <t>Eave line 17</t>
  </si>
  <si>
    <t>Eave line 2</t>
  </si>
  <si>
    <t>Eave line 20</t>
  </si>
  <si>
    <t>Eave line 23</t>
  </si>
  <si>
    <t>Eave line 25</t>
  </si>
  <si>
    <t>Eave line 3</t>
  </si>
  <si>
    <t>Eave line 34</t>
  </si>
  <si>
    <t>Eave line 36</t>
  </si>
  <si>
    <t>Eave line 4</t>
  </si>
  <si>
    <t>Eave line 40</t>
  </si>
  <si>
    <t>Eave line 42</t>
  </si>
  <si>
    <t>Eave line 43</t>
  </si>
  <si>
    <t>Eave line 44</t>
  </si>
  <si>
    <t>Eave line 45</t>
  </si>
  <si>
    <t>Eave line 46</t>
  </si>
  <si>
    <t>Eave line 48</t>
  </si>
  <si>
    <t>Eave line 8</t>
  </si>
  <si>
    <t>Gable line 1</t>
  </si>
  <si>
    <t>Gable line 2</t>
  </si>
  <si>
    <t>Gable line 3</t>
  </si>
  <si>
    <t>Gable line 11</t>
  </si>
  <si>
    <t>Gable line 13</t>
  </si>
  <si>
    <t>Gable line 17</t>
  </si>
  <si>
    <t>Gable line 20</t>
  </si>
  <si>
    <t>Gable line 23</t>
  </si>
  <si>
    <t>Gable line 231</t>
  </si>
  <si>
    <t>Gable line 25</t>
  </si>
  <si>
    <t>Gable line 34</t>
  </si>
  <si>
    <t>Gable line 36</t>
  </si>
  <si>
    <t>Gable line 4</t>
  </si>
  <si>
    <t>Gable line 40</t>
  </si>
  <si>
    <t>Gable line 42</t>
  </si>
  <si>
    <t>Gable line 44</t>
  </si>
  <si>
    <t>Gable line 46</t>
  </si>
  <si>
    <t>Gable line 8</t>
  </si>
  <si>
    <t>Ridge line 1</t>
  </si>
  <si>
    <t>Ridge line 3</t>
  </si>
  <si>
    <t>Ridge line 11</t>
  </si>
  <si>
    <t>Ridge line 4</t>
  </si>
  <si>
    <t>Ridge line 42</t>
  </si>
  <si>
    <t>Ridge line 43</t>
  </si>
  <si>
    <t>Ridge line 44</t>
  </si>
  <si>
    <t>Hip line 1</t>
  </si>
  <si>
    <t>Hip line 2</t>
  </si>
  <si>
    <t>Hip line 42</t>
  </si>
  <si>
    <t>Hip line 43</t>
  </si>
  <si>
    <t>Hip line 45</t>
  </si>
  <si>
    <t>Valley line 3</t>
  </si>
  <si>
    <t>Valley line 43</t>
  </si>
  <si>
    <t>Valley line 48</t>
  </si>
  <si>
    <t>Valley line 8</t>
  </si>
  <si>
    <t>Mansard line 2</t>
  </si>
  <si>
    <t>Mansard line 23</t>
  </si>
  <si>
    <t>Mansard line 25</t>
  </si>
  <si>
    <t>Polynesian line 34</t>
  </si>
  <si>
    <t>Polynesian line 36</t>
  </si>
  <si>
    <t>Unknown line 2</t>
  </si>
  <si>
    <t>Gable against wall line 11</t>
  </si>
  <si>
    <t>Gable against wall line 13</t>
  </si>
  <si>
    <t>Gable against wall line 17</t>
  </si>
  <si>
    <t>Gable against wall line 44</t>
  </si>
  <si>
    <t>Louvred gable 1</t>
  </si>
  <si>
    <t>Louvred gable 3</t>
  </si>
  <si>
    <t>Mono high end against wall 17</t>
  </si>
  <si>
    <t>Mono high end against wall 44</t>
  </si>
  <si>
    <t>Mono high end overhang 20</t>
  </si>
  <si>
    <t>Corrugated - 762x20000</t>
  </si>
  <si>
    <t>Klip-Lok - 700x20000</t>
  </si>
  <si>
    <t>IBR - 686x20000</t>
  </si>
  <si>
    <t>TIMBER</t>
  </si>
  <si>
    <t>NAILPLATE</t>
  </si>
  <si>
    <t>SHEETINGDECKING</t>
  </si>
  <si>
    <t>Nail plate</t>
  </si>
  <si>
    <t>Sheeting / Decking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</si>
</sst>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"/>
  </numFmts>
  <fonts count="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theme="0" tint="-0.34998626667073579"/>
      <name val="Arial"/>
      <family val="2"/>
    </font>
    <font>
      <b/>
      <sz val="10"/>
      <name val="Arial"/>
      <family val="2"/>
    </font>
    <font>
      <sz val="11"/>
      <color rgb="FF00642D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9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49" fontId="1" fillId="0" borderId="0" xfId="0" applyNumberFormat="1" applyFont="1"/>
    <xf numFmtId="164" fontId="0" fillId="0" borderId="0" xfId="2" applyNumberFormat="1" applyFont="1"/>
    <xf numFmtId="0" fontId="0" fillId="0" borderId="0" xfId="0" applyAlignment="1">
      <alignment vertical="center" wrapText="1"/>
    </xf>
    <xf numFmtId="0" fontId="3" fillId="0" borderId="0" xfId="0" applyFont="1"/>
    <xf numFmtId="11" fontId="3" fillId="0" borderId="0" xfId="0" applyNumberFormat="1" applyFont="1"/>
    <xf numFmtId="11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2" fontId="1" fillId="0" borderId="0" xfId="0" applyNumberFormat="1" applyFont="1"/>
    <xf numFmtId="2" fontId="0" fillId="0" borderId="0" xfId="0" applyNumberFormat="1"/>
    <xf numFmtId="2" fontId="1" fillId="0" borderId="0" xfId="0" applyNumberFormat="1" applyFont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1" fontId="1" fillId="0" borderId="1" xfId="0" applyNumberFormat="1" applyFont="1" applyBorder="1" applyAlignment="1">
      <alignment horizontal="left"/>
    </xf>
    <xf numFmtId="1" fontId="0" fillId="0" borderId="0" xfId="0" applyNumberFormat="1"/>
    <xf numFmtId="1" fontId="0" fillId="0" borderId="1" xfId="0" applyNumberFormat="1" applyBorder="1" applyAlignment="1">
      <alignment horizontal="left"/>
    </xf>
    <xf numFmtId="165" fontId="1" fillId="0" borderId="0" xfId="0" applyNumberFormat="1" applyFont="1"/>
    <xf numFmtId="165" fontId="0" fillId="0" borderId="0" xfId="0" applyNumberFormat="1"/>
    <xf numFmtId="165" fontId="0" fillId="0" borderId="1" xfId="0" applyNumberFormat="1" applyBorder="1" applyAlignment="1">
      <alignment horizontal="left"/>
    </xf>
    <xf numFmtId="165" fontId="1" fillId="0" borderId="1" xfId="0" applyNumberFormat="1" applyFont="1" applyBorder="1"/>
    <xf numFmtId="165" fontId="1" fillId="0" borderId="1" xfId="0" applyNumberFormat="1" applyFont="1" applyBorder="1" applyAlignment="1">
      <alignment horizontal="left"/>
    </xf>
    <xf numFmtId="0" fontId="0" fillId="0" borderId="1" xfId="0" applyBorder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165" fontId="0" fillId="0" borderId="1" xfId="0" applyNumberFormat="1" applyBorder="1"/>
    <xf numFmtId="0" fontId="1" fillId="0" borderId="1" xfId="0" applyFont="1" applyBorder="1"/>
    <xf numFmtId="166" fontId="0" fillId="0" borderId="1" xfId="0" applyNumberFormat="1" applyBorder="1" applyAlignment="1">
      <alignment horizontal="left"/>
    </xf>
    <xf numFmtId="166" fontId="0" fillId="0" borderId="0" xfId="0" applyNumberFormat="1"/>
    <xf numFmtId="2" fontId="1" fillId="0" borderId="0" xfId="0" applyNumberFormat="1" applyFont="1" applyAlignment="1">
      <alignment horizontal="left"/>
    </xf>
    <xf numFmtId="0" fontId="4" fillId="0" borderId="0" xfId="0" applyFont="1"/>
    <xf numFmtId="166" fontId="1" fillId="0" borderId="1" xfId="0" applyNumberFormat="1" applyFont="1" applyBorder="1" applyAlignment="1">
      <alignment horizontal="left"/>
    </xf>
    <xf numFmtId="4" fontId="0" fillId="0" borderId="0" xfId="0" applyNumberFormat="1"/>
    <xf numFmtId="165" fontId="0" fillId="0" borderId="0" xfId="0" applyNumberFormat="1" applyAlignment="1">
      <alignment vertical="center" wrapText="1"/>
    </xf>
    <xf numFmtId="165" fontId="5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2" defaultPivotStyle="PivotStyleLight16"/>
  <colors>
    <mruColors>
      <color rgb="FF006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eneral_Data"/>
  <dimension ref="A1:E87"/>
  <sheetViews>
    <sheetView workbookViewId="0">
      <selection activeCell="A6" sqref="A6:B6"/>
    </sheetView>
  </sheetViews>
  <sheetFormatPr defaultRowHeight="13.2" x14ac:dyDescent="0.25"/>
  <cols>
    <col min="1" max="1" width="31" customWidth="1"/>
    <col min="2" max="2" width="19" bestFit="1" customWidth="1"/>
    <col min="3" max="3" width="36.6640625" customWidth="1"/>
    <col min="4" max="256" width="11.44140625" customWidth="1"/>
  </cols>
  <sheetData>
    <row r="1" spans="1:3" x14ac:dyDescent="0.25">
      <c r="A1" s="45" t="s">
        <v>0</v>
      </c>
      <c r="B1" s="45"/>
      <c r="C1" s="2" t="s">
        <v>186</v>
      </c>
    </row>
    <row r="2" spans="1:3" x14ac:dyDescent="0.25">
      <c r="A2" s="47" t="s">
        <v>10</v>
      </c>
      <c r="B2" s="1" t="s">
        <v>8</v>
      </c>
      <c r="C2" s="1" t="s">
        <v>191</v>
      </c>
    </row>
    <row r="3" spans="1:3" x14ac:dyDescent="0.25">
      <c r="A3" s="47"/>
      <c r="B3" s="1" t="s">
        <v>9</v>
      </c>
      <c r="C3" s="1"/>
    </row>
    <row r="4" spans="1:3" x14ac:dyDescent="0.25">
      <c r="A4" s="47"/>
      <c r="B4" s="1" t="s">
        <v>90</v>
      </c>
      <c r="C4" s="1"/>
    </row>
    <row r="5" spans="1:3" x14ac:dyDescent="0.25">
      <c r="A5" s="47"/>
      <c r="B5" s="1" t="s">
        <v>103</v>
      </c>
      <c r="C5" s="1"/>
    </row>
    <row r="6" spans="1:3" x14ac:dyDescent="0.25">
      <c r="A6" s="45" t="s">
        <v>1</v>
      </c>
      <c r="B6" s="45"/>
      <c r="C6" s="1"/>
    </row>
    <row r="7" spans="1:3" x14ac:dyDescent="0.25">
      <c r="A7" s="44" t="s">
        <v>11</v>
      </c>
      <c r="B7" s="1" t="s">
        <v>12</v>
      </c>
      <c r="C7" s="1"/>
    </row>
    <row r="8" spans="1:3" x14ac:dyDescent="0.25">
      <c r="A8" s="44"/>
      <c r="B8" s="1" t="s">
        <v>9</v>
      </c>
      <c r="C8" s="1"/>
    </row>
    <row r="9" spans="1:3" x14ac:dyDescent="0.25">
      <c r="A9" s="45" t="s">
        <v>2</v>
      </c>
      <c r="B9" s="45"/>
      <c r="C9" s="1" t="s">
        <v>187</v>
      </c>
    </row>
    <row r="10" spans="1:3" x14ac:dyDescent="0.25">
      <c r="A10" s="45" t="s">
        <v>147</v>
      </c>
      <c r="B10" s="45"/>
      <c r="C10" s="1" t="s">
        <v>188</v>
      </c>
    </row>
    <row r="11" spans="1:3" x14ac:dyDescent="0.25">
      <c r="A11" s="45" t="s">
        <v>148</v>
      </c>
      <c r="B11" s="45"/>
      <c r="C11" s="1" t="s">
        <v>189</v>
      </c>
    </row>
    <row r="12" spans="1:3" x14ac:dyDescent="0.25">
      <c r="A12" s="45" t="s">
        <v>91</v>
      </c>
      <c r="B12" s="45"/>
      <c r="C12" s="1" t="s">
        <v>190</v>
      </c>
    </row>
    <row r="13" spans="1:3" x14ac:dyDescent="0.25">
      <c r="A13" s="44" t="s">
        <v>88</v>
      </c>
      <c r="B13" s="1" t="s">
        <v>13</v>
      </c>
      <c r="C13" s="13">
        <v>110.00000000000001</v>
      </c>
    </row>
    <row r="14" spans="1:3" x14ac:dyDescent="0.25">
      <c r="A14" s="44"/>
      <c r="B14" s="1" t="s">
        <v>14</v>
      </c>
      <c r="C14" s="13">
        <v>140.00000373925999</v>
      </c>
    </row>
    <row r="15" spans="1:3" x14ac:dyDescent="0.25">
      <c r="A15" s="45" t="s">
        <v>3</v>
      </c>
      <c r="B15" s="45"/>
      <c r="C15" s="13"/>
    </row>
    <row r="16" spans="1:3" x14ac:dyDescent="0.25">
      <c r="A16" s="45" t="s">
        <v>22</v>
      </c>
      <c r="B16" s="45"/>
      <c r="C16" s="13">
        <v>1500</v>
      </c>
    </row>
    <row r="17" spans="1:5" x14ac:dyDescent="0.25">
      <c r="A17" s="45" t="s">
        <v>23</v>
      </c>
      <c r="B17" s="45"/>
      <c r="C17" s="13" t="s">
        <v>193</v>
      </c>
    </row>
    <row r="18" spans="1:5" x14ac:dyDescent="0.25">
      <c r="A18" s="45" t="s">
        <v>4</v>
      </c>
      <c r="B18" s="45"/>
      <c r="C18">
        <v>26</v>
      </c>
    </row>
    <row r="19" spans="1:5" x14ac:dyDescent="0.25">
      <c r="A19" s="45" t="s">
        <v>24</v>
      </c>
      <c r="B19" s="45"/>
      <c r="C19" s="13">
        <v>1200.0000476837158</v>
      </c>
    </row>
    <row r="20" spans="1:5" x14ac:dyDescent="0.25">
      <c r="A20" s="45" t="s">
        <v>5</v>
      </c>
      <c r="B20" s="45"/>
      <c r="C20" s="13" t="s">
        <v>192</v>
      </c>
      <c r="E20" s="2"/>
    </row>
    <row r="21" spans="1:5" x14ac:dyDescent="0.25">
      <c r="A21" s="44" t="s">
        <v>6</v>
      </c>
      <c r="B21" s="1" t="s">
        <v>7</v>
      </c>
      <c r="C21" s="13"/>
    </row>
    <row r="22" spans="1:5" x14ac:dyDescent="0.25">
      <c r="A22" s="44"/>
      <c r="B22" s="1" t="s">
        <v>15</v>
      </c>
      <c r="C22" s="13"/>
    </row>
    <row r="23" spans="1:5" x14ac:dyDescent="0.25">
      <c r="A23" s="44" t="s">
        <v>16</v>
      </c>
      <c r="B23" s="1" t="s">
        <v>17</v>
      </c>
      <c r="C23" s="13"/>
    </row>
    <row r="24" spans="1:5" x14ac:dyDescent="0.25">
      <c r="A24" s="44"/>
      <c r="B24" s="1" t="s">
        <v>18</v>
      </c>
      <c r="C24" s="13"/>
    </row>
    <row r="25" spans="1:5" x14ac:dyDescent="0.25">
      <c r="A25" s="44" t="s">
        <v>99</v>
      </c>
      <c r="B25" s="1" t="s">
        <v>7</v>
      </c>
      <c r="C25" s="13"/>
    </row>
    <row r="26" spans="1:5" x14ac:dyDescent="0.25">
      <c r="A26" s="44"/>
      <c r="B26" s="1" t="s">
        <v>18</v>
      </c>
      <c r="C26" s="13"/>
    </row>
    <row r="27" spans="1:5" x14ac:dyDescent="0.25">
      <c r="A27" s="44" t="s">
        <v>92</v>
      </c>
      <c r="B27" s="1" t="s">
        <v>7</v>
      </c>
      <c r="C27" s="13"/>
    </row>
    <row r="28" spans="1:5" x14ac:dyDescent="0.25">
      <c r="A28" s="44"/>
      <c r="B28" s="1" t="s">
        <v>15</v>
      </c>
      <c r="C28" s="13"/>
    </row>
    <row r="29" spans="1:5" x14ac:dyDescent="0.25">
      <c r="A29" s="44" t="s">
        <v>19</v>
      </c>
      <c r="B29" s="1" t="s">
        <v>20</v>
      </c>
      <c r="C29" s="13">
        <v>110</v>
      </c>
    </row>
    <row r="30" spans="1:5" x14ac:dyDescent="0.25">
      <c r="A30" s="44"/>
      <c r="B30" s="1" t="s">
        <v>21</v>
      </c>
      <c r="C30" s="13">
        <v>60</v>
      </c>
    </row>
    <row r="31" spans="1:5" x14ac:dyDescent="0.25">
      <c r="A31" s="45" t="s">
        <v>25</v>
      </c>
      <c r="B31" s="45"/>
      <c r="C31" s="3">
        <v>0.15</v>
      </c>
    </row>
    <row r="32" spans="1:5" x14ac:dyDescent="0.25">
      <c r="A32" s="46" t="s">
        <v>163</v>
      </c>
      <c r="B32" s="1" t="s">
        <v>159</v>
      </c>
      <c r="C32" s="25">
        <v>14.629517460342269</v>
      </c>
    </row>
    <row r="33" spans="1:5" x14ac:dyDescent="0.25">
      <c r="A33" s="46"/>
      <c r="B33" s="4" t="s">
        <v>160</v>
      </c>
      <c r="C33" s="40">
        <v>0</v>
      </c>
    </row>
    <row r="34" spans="1:5" x14ac:dyDescent="0.25">
      <c r="A34" s="46"/>
      <c r="B34" s="4" t="s">
        <v>161</v>
      </c>
      <c r="C34" s="40">
        <v>0</v>
      </c>
      <c r="D34" s="4"/>
      <c r="E34" s="4"/>
    </row>
    <row r="35" spans="1:5" x14ac:dyDescent="0.25">
      <c r="A35" s="46"/>
      <c r="B35" s="4" t="s">
        <v>162</v>
      </c>
      <c r="C35" s="40">
        <v>0</v>
      </c>
      <c r="D35" s="4"/>
      <c r="E35" s="4"/>
    </row>
    <row r="36" spans="1:5" x14ac:dyDescent="0.25">
      <c r="C36" s="4"/>
      <c r="D36" s="4"/>
      <c r="E36" s="4"/>
    </row>
    <row r="37" spans="1:5" x14ac:dyDescent="0.25">
      <c r="A37" s="42" t="s">
        <v>175</v>
      </c>
      <c r="B37" s="1" t="s">
        <v>159</v>
      </c>
      <c r="C37" s="40">
        <v>42306.773710070898</v>
      </c>
      <c r="D37" s="4"/>
      <c r="E37" s="4"/>
    </row>
    <row r="38" spans="1:5" x14ac:dyDescent="0.25">
      <c r="A38" s="43"/>
      <c r="B38" s="4" t="s">
        <v>161</v>
      </c>
      <c r="C38" s="40"/>
      <c r="D38" s="4"/>
      <c r="E38" s="4"/>
    </row>
    <row r="39" spans="1:5" x14ac:dyDescent="0.25">
      <c r="A39" s="43"/>
      <c r="B39" s="4" t="s">
        <v>162</v>
      </c>
      <c r="C39" s="40"/>
      <c r="D39" s="4"/>
      <c r="E39" s="4"/>
    </row>
    <row r="40" spans="1:5" x14ac:dyDescent="0.25">
      <c r="A40" s="43"/>
      <c r="B40" s="4" t="s">
        <v>177</v>
      </c>
      <c r="C40" s="40">
        <v>42306.773710070898</v>
      </c>
      <c r="D40" s="4"/>
      <c r="E40" s="4"/>
    </row>
    <row r="41" spans="1:5" x14ac:dyDescent="0.25">
      <c r="A41" s="43"/>
      <c r="B41" s="4" t="s">
        <v>176</v>
      </c>
      <c r="C41" s="40">
        <v>16906.367608560799</v>
      </c>
      <c r="D41" s="4"/>
      <c r="E41" s="4"/>
    </row>
    <row r="42" spans="1:5" x14ac:dyDescent="0.25">
      <c r="A42" s="43"/>
      <c r="B42" s="4" t="s">
        <v>178</v>
      </c>
      <c r="C42" s="40"/>
      <c r="D42" s="4"/>
      <c r="E42" s="4"/>
    </row>
    <row r="43" spans="1:5" x14ac:dyDescent="0.25">
      <c r="A43" s="4"/>
      <c r="C43" s="4"/>
      <c r="D43" s="4"/>
      <c r="E43" s="4"/>
    </row>
    <row r="44" spans="1:5" x14ac:dyDescent="0.25">
      <c r="A44" s="4"/>
      <c r="C44" s="4"/>
      <c r="D44" s="4"/>
      <c r="E44" s="4"/>
    </row>
    <row r="45" spans="1:5" x14ac:dyDescent="0.25">
      <c r="A45" s="4"/>
      <c r="C45" s="4"/>
      <c r="D45" s="4"/>
      <c r="E45" s="4"/>
    </row>
    <row r="46" spans="1:5" x14ac:dyDescent="0.25">
      <c r="A46" s="4"/>
      <c r="B46" s="4"/>
      <c r="C46" s="4"/>
      <c r="D46" s="4"/>
      <c r="E46" s="4"/>
    </row>
    <row r="47" spans="1:5" x14ac:dyDescent="0.25">
      <c r="A47" s="4"/>
      <c r="B47" s="4"/>
      <c r="C47" s="4"/>
      <c r="D47" s="4"/>
      <c r="E47" s="4"/>
    </row>
    <row r="48" spans="1:5" x14ac:dyDescent="0.25">
      <c r="A48" s="4"/>
      <c r="B48" s="4"/>
      <c r="C48" s="4"/>
      <c r="D48" s="4"/>
      <c r="E48" s="4"/>
    </row>
    <row r="49" spans="1:5" x14ac:dyDescent="0.25">
      <c r="A49" s="4"/>
      <c r="B49" s="4"/>
      <c r="C49" s="4"/>
      <c r="D49" s="4"/>
      <c r="E49" s="4"/>
    </row>
    <row r="50" spans="1:5" x14ac:dyDescent="0.25">
      <c r="A50" s="4"/>
      <c r="B50" s="4"/>
      <c r="C50" s="4"/>
      <c r="D50" s="4"/>
      <c r="E50" s="4"/>
    </row>
    <row r="51" spans="1:5" x14ac:dyDescent="0.25">
      <c r="A51" s="4"/>
      <c r="B51" s="4"/>
      <c r="C51" s="4"/>
      <c r="D51" s="4"/>
      <c r="E51" s="4"/>
    </row>
    <row r="52" spans="1:5" x14ac:dyDescent="0.25">
      <c r="A52" s="4"/>
      <c r="B52" s="4"/>
      <c r="C52" s="4"/>
      <c r="D52" s="4"/>
      <c r="E52" s="4"/>
    </row>
    <row r="53" spans="1:5" x14ac:dyDescent="0.25">
      <c r="A53" s="4"/>
      <c r="B53" s="4"/>
      <c r="C53" s="4"/>
      <c r="D53" s="4"/>
      <c r="E53" s="4"/>
    </row>
    <row r="54" spans="1:5" x14ac:dyDescent="0.25">
      <c r="A54" s="4"/>
      <c r="B54" s="4"/>
      <c r="C54" s="4"/>
      <c r="D54" s="4"/>
      <c r="E54" s="4"/>
    </row>
    <row r="55" spans="1:5" x14ac:dyDescent="0.25">
      <c r="A55" s="4"/>
      <c r="B55" s="4"/>
      <c r="C55" s="4"/>
      <c r="D55" s="4"/>
      <c r="E55" s="4"/>
    </row>
    <row r="56" spans="1:5" x14ac:dyDescent="0.25">
      <c r="A56" s="4"/>
      <c r="B56" s="4"/>
      <c r="C56" s="4"/>
      <c r="D56" s="4"/>
      <c r="E56" s="4"/>
    </row>
    <row r="57" spans="1:5" x14ac:dyDescent="0.25">
      <c r="A57" s="4"/>
      <c r="B57" s="4"/>
      <c r="C57" s="4"/>
      <c r="D57" s="4"/>
      <c r="E57" s="4"/>
    </row>
    <row r="58" spans="1:5" x14ac:dyDescent="0.25">
      <c r="A58" s="4"/>
      <c r="B58" s="4"/>
      <c r="C58" s="4"/>
      <c r="D58" s="4"/>
      <c r="E58" s="4"/>
    </row>
    <row r="59" spans="1:5" x14ac:dyDescent="0.25">
      <c r="A59" s="4"/>
      <c r="B59" s="4"/>
      <c r="C59" s="4"/>
      <c r="D59" s="4"/>
      <c r="E59" s="4"/>
    </row>
    <row r="60" spans="1:5" x14ac:dyDescent="0.25">
      <c r="A60" s="4"/>
      <c r="B60" s="4"/>
      <c r="C60" s="4"/>
      <c r="D60" s="4"/>
      <c r="E60" s="4"/>
    </row>
    <row r="61" spans="1:5" x14ac:dyDescent="0.25">
      <c r="A61" s="4"/>
      <c r="B61" s="4"/>
      <c r="C61" s="4"/>
      <c r="D61" s="4"/>
      <c r="E61" s="4"/>
    </row>
    <row r="62" spans="1:5" x14ac:dyDescent="0.25">
      <c r="A62" s="4"/>
      <c r="B62" s="4"/>
      <c r="C62" s="4"/>
      <c r="D62" s="4"/>
      <c r="E62" s="4"/>
    </row>
    <row r="63" spans="1:5" x14ac:dyDescent="0.25">
      <c r="A63" s="4"/>
      <c r="B63" s="4"/>
      <c r="C63" s="4"/>
      <c r="D63" s="4"/>
      <c r="E63" s="4"/>
    </row>
    <row r="64" spans="1:5" x14ac:dyDescent="0.25">
      <c r="A64" s="4"/>
      <c r="B64" s="4"/>
      <c r="C64" s="4"/>
      <c r="D64" s="4"/>
      <c r="E64" s="4"/>
    </row>
    <row r="65" spans="1:5" x14ac:dyDescent="0.25">
      <c r="A65" s="4"/>
      <c r="B65" s="4"/>
      <c r="C65" s="4"/>
      <c r="D65" s="4"/>
      <c r="E65" s="4"/>
    </row>
    <row r="66" spans="1:5" x14ac:dyDescent="0.25">
      <c r="A66" s="4"/>
      <c r="B66" s="4"/>
      <c r="C66" s="4"/>
      <c r="D66" s="4"/>
      <c r="E66" s="4"/>
    </row>
    <row r="67" spans="1:5" x14ac:dyDescent="0.25">
      <c r="A67" s="4"/>
      <c r="B67" s="4"/>
      <c r="C67" s="4"/>
      <c r="D67" s="4"/>
      <c r="E67" s="4"/>
    </row>
    <row r="68" spans="1:5" x14ac:dyDescent="0.25">
      <c r="A68" s="4"/>
      <c r="B68" s="4"/>
      <c r="C68" s="4"/>
      <c r="D68" s="4"/>
      <c r="E68" s="4"/>
    </row>
    <row r="69" spans="1:5" x14ac:dyDescent="0.25">
      <c r="A69" s="4"/>
      <c r="B69" s="4"/>
      <c r="C69" s="4"/>
      <c r="D69" s="4"/>
      <c r="E69" s="4"/>
    </row>
    <row r="70" spans="1:5" x14ac:dyDescent="0.25">
      <c r="A70" s="4"/>
      <c r="B70" s="4"/>
      <c r="C70" s="4"/>
      <c r="D70" s="4"/>
      <c r="E70" s="4"/>
    </row>
    <row r="71" spans="1:5" x14ac:dyDescent="0.25">
      <c r="A71" s="4"/>
      <c r="B71" s="4"/>
      <c r="C71" s="4"/>
      <c r="D71" s="4"/>
      <c r="E71" s="4"/>
    </row>
    <row r="72" spans="1:5" x14ac:dyDescent="0.25">
      <c r="A72" s="4"/>
      <c r="B72" s="4"/>
      <c r="C72" s="4"/>
      <c r="D72" s="4"/>
      <c r="E72" s="4"/>
    </row>
    <row r="73" spans="1:5" x14ac:dyDescent="0.25">
      <c r="A73" s="4"/>
      <c r="B73" s="4"/>
      <c r="C73" s="4"/>
      <c r="D73" s="4"/>
      <c r="E73" s="4"/>
    </row>
    <row r="74" spans="1:5" x14ac:dyDescent="0.25">
      <c r="A74" s="4"/>
      <c r="B74" s="4"/>
      <c r="C74" s="4"/>
      <c r="D74" s="4"/>
      <c r="E74" s="4"/>
    </row>
    <row r="75" spans="1:5" x14ac:dyDescent="0.25">
      <c r="A75" s="4"/>
      <c r="B75" s="4"/>
      <c r="C75" s="4"/>
      <c r="D75" s="4"/>
      <c r="E75" s="4"/>
    </row>
    <row r="76" spans="1:5" x14ac:dyDescent="0.25">
      <c r="A76" s="4"/>
      <c r="B76" s="4"/>
      <c r="C76" s="4"/>
      <c r="D76" s="4"/>
      <c r="E76" s="4"/>
    </row>
    <row r="77" spans="1:5" x14ac:dyDescent="0.25">
      <c r="A77" s="4"/>
      <c r="B77" s="4"/>
      <c r="C77" s="4"/>
      <c r="D77" s="4"/>
      <c r="E77" s="4"/>
    </row>
    <row r="78" spans="1:5" x14ac:dyDescent="0.25">
      <c r="A78" s="4"/>
      <c r="B78" s="4"/>
      <c r="C78" s="4"/>
      <c r="D78" s="4"/>
      <c r="E78" s="4"/>
    </row>
    <row r="79" spans="1:5" x14ac:dyDescent="0.25">
      <c r="A79" s="4"/>
      <c r="B79" s="4"/>
      <c r="C79" s="4"/>
      <c r="D79" s="4"/>
      <c r="E79" s="4"/>
    </row>
    <row r="80" spans="1:5" x14ac:dyDescent="0.25">
      <c r="A80" s="4"/>
      <c r="B80" s="4"/>
      <c r="C80" s="4"/>
      <c r="D80" s="4"/>
      <c r="E80" s="4"/>
    </row>
    <row r="81" spans="1:5" x14ac:dyDescent="0.25">
      <c r="A81" s="4"/>
      <c r="B81" s="4"/>
      <c r="C81" s="4"/>
      <c r="D81" s="4"/>
      <c r="E81" s="4"/>
    </row>
    <row r="82" spans="1:5" x14ac:dyDescent="0.25">
      <c r="A82" s="4"/>
      <c r="B82" s="4"/>
      <c r="C82" s="4"/>
      <c r="D82" s="4"/>
      <c r="E82" s="4"/>
    </row>
    <row r="83" spans="1:5" x14ac:dyDescent="0.25">
      <c r="A83" s="4"/>
      <c r="B83" s="4"/>
      <c r="C83" s="4"/>
      <c r="D83" s="4"/>
      <c r="E83" s="4"/>
    </row>
    <row r="84" spans="1:5" x14ac:dyDescent="0.25">
      <c r="A84" s="4"/>
      <c r="B84" s="4"/>
      <c r="C84" s="4"/>
      <c r="D84" s="4"/>
      <c r="E84" s="4"/>
    </row>
    <row r="85" spans="1:5" x14ac:dyDescent="0.25">
      <c r="A85" s="4"/>
      <c r="B85" s="4"/>
      <c r="C85" s="4"/>
      <c r="D85" s="4"/>
      <c r="E85" s="4"/>
    </row>
    <row r="86" spans="1:5" x14ac:dyDescent="0.25">
      <c r="A86" s="4"/>
      <c r="B86" s="4"/>
      <c r="C86" s="4"/>
      <c r="D86" s="4"/>
      <c r="E86" s="4"/>
    </row>
    <row r="87" spans="1:5" x14ac:dyDescent="0.25">
      <c r="D87" s="4"/>
    </row>
  </sheetData>
  <mergeCells count="23">
    <mergeCell ref="A1:B1"/>
    <mergeCell ref="A9:B9"/>
    <mergeCell ref="A15:B15"/>
    <mergeCell ref="A16:B16"/>
    <mergeCell ref="A17:B17"/>
    <mergeCell ref="A7:A8"/>
    <mergeCell ref="A13:A14"/>
    <mergeCell ref="A6:B6"/>
    <mergeCell ref="A12:B12"/>
    <mergeCell ref="A2:A5"/>
    <mergeCell ref="A10:B10"/>
    <mergeCell ref="A11:B11"/>
    <mergeCell ref="A21:A22"/>
    <mergeCell ref="A23:A24"/>
    <mergeCell ref="A32:A35"/>
    <mergeCell ref="A18:B18"/>
    <mergeCell ref="A19:B19"/>
    <mergeCell ref="A20:B20"/>
    <mergeCell ref="A37:A42"/>
    <mergeCell ref="A27:A28"/>
    <mergeCell ref="A25:A26"/>
    <mergeCell ref="A31:B31"/>
    <mergeCell ref="A29:A3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raming_zones"/>
  <dimension ref="A1:G24"/>
  <sheetViews>
    <sheetView zoomScaleNormal="100" workbookViewId="0">
      <selection activeCell="G2" sqref="G2"/>
    </sheetView>
  </sheetViews>
  <sheetFormatPr defaultRowHeight="13.2" x14ac:dyDescent="0.25"/>
  <cols>
    <col min="1" max="1" width="16.109375" style="1" customWidth="1"/>
    <col min="2" max="2" width="15.6640625" style="1" customWidth="1"/>
    <col min="3" max="3" width="11.44140625" style="24" customWidth="1"/>
    <col min="4" max="4" width="15.33203125" customWidth="1"/>
    <col min="5" max="5" width="19.6640625" style="10" customWidth="1"/>
    <col min="6" max="256" width="11.44140625" customWidth="1"/>
  </cols>
  <sheetData>
    <row r="1" spans="1:7" s="15" customFormat="1" x14ac:dyDescent="0.25">
      <c r="A1" s="17" t="s">
        <v>8</v>
      </c>
      <c r="B1" s="17" t="s">
        <v>27</v>
      </c>
      <c r="C1" s="27" t="s">
        <v>28</v>
      </c>
      <c r="D1" s="29" t="s">
        <v>29</v>
      </c>
      <c r="E1" s="18" t="s">
        <v>179</v>
      </c>
      <c r="F1" s="17" t="s">
        <v>45</v>
      </c>
      <c r="G1" s="17" t="s">
        <v>46</v>
      </c>
    </row>
    <row r="2" spans="1:7" x14ac:dyDescent="0.25">
      <c r="A2" s="1" t="s">
        <v>194</v>
      </c>
      <c r="B2" s="1" t="s">
        <v>217</v>
      </c>
      <c r="C2" s="24">
        <v>6.6</v>
      </c>
      <c r="D2">
        <v>39.999999999999886</v>
      </c>
      <c r="E2" s="10">
        <v>5719.7530166735523</v>
      </c>
      <c r="F2" t="s">
        <v>222</v>
      </c>
      <c r="G2" t="s">
        <v>223</v>
      </c>
    </row>
    <row r="3" spans="1:7" x14ac:dyDescent="0.25">
      <c r="A3" s="1" t="s">
        <v>195</v>
      </c>
      <c r="B3" s="1" t="s">
        <v>217</v>
      </c>
      <c r="C3" s="24">
        <v>6.6</v>
      </c>
      <c r="D3">
        <v>39.999999999999893</v>
      </c>
      <c r="E3" s="10">
        <v>5610.0320001594155</v>
      </c>
      <c r="F3" t="s">
        <v>222</v>
      </c>
      <c r="G3" t="s">
        <v>223</v>
      </c>
    </row>
    <row r="4" spans="1:7" x14ac:dyDescent="0.25">
      <c r="A4" s="1" t="s">
        <v>196</v>
      </c>
      <c r="B4" s="1" t="s">
        <v>217</v>
      </c>
      <c r="C4" s="24">
        <v>8.1999999999999993</v>
      </c>
      <c r="D4">
        <v>22.5</v>
      </c>
      <c r="E4" s="10">
        <v>5288.8441396981716</v>
      </c>
      <c r="F4" t="s">
        <v>222</v>
      </c>
      <c r="G4" t="s">
        <v>223</v>
      </c>
    </row>
    <row r="5" spans="1:7" x14ac:dyDescent="0.25">
      <c r="A5" s="1" t="s">
        <v>197</v>
      </c>
      <c r="B5" s="1" t="s">
        <v>217</v>
      </c>
      <c r="C5" s="24">
        <v>7.2000000000000011</v>
      </c>
      <c r="D5">
        <v>25.999999999999986</v>
      </c>
      <c r="E5" s="10">
        <v>3698.6904402658433</v>
      </c>
      <c r="F5" t="s">
        <v>222</v>
      </c>
      <c r="G5" t="s">
        <v>223</v>
      </c>
    </row>
    <row r="6" spans="1:7" x14ac:dyDescent="0.25">
      <c r="A6" s="1" t="s">
        <v>198</v>
      </c>
      <c r="B6" s="1" t="s">
        <v>217</v>
      </c>
      <c r="C6" s="24">
        <v>7.9000000000000012</v>
      </c>
      <c r="D6">
        <v>26.000000000000018</v>
      </c>
      <c r="E6" s="10">
        <v>4370.5944447223628</v>
      </c>
      <c r="F6" t="s">
        <v>222</v>
      </c>
      <c r="G6" t="s">
        <v>223</v>
      </c>
    </row>
    <row r="7" spans="1:7" x14ac:dyDescent="0.25">
      <c r="A7" s="1" t="s">
        <v>199</v>
      </c>
      <c r="B7" s="1" t="s">
        <v>217</v>
      </c>
      <c r="C7" s="24">
        <v>5.4000000000000012</v>
      </c>
      <c r="D7">
        <v>26.000000000000021</v>
      </c>
      <c r="E7" s="10">
        <v>2590.3754475223996</v>
      </c>
      <c r="F7" t="s">
        <v>222</v>
      </c>
      <c r="G7" t="s">
        <v>223</v>
      </c>
    </row>
    <row r="8" spans="1:7" x14ac:dyDescent="0.25">
      <c r="A8" s="1" t="s">
        <v>200</v>
      </c>
      <c r="B8" s="1" t="s">
        <v>218</v>
      </c>
      <c r="C8" s="24">
        <v>4.3999999046325682</v>
      </c>
      <c r="D8">
        <v>22.499999999999982</v>
      </c>
      <c r="E8" s="10">
        <v>640.51769596134113</v>
      </c>
      <c r="F8" t="s">
        <v>222</v>
      </c>
      <c r="G8" t="s">
        <v>223</v>
      </c>
    </row>
    <row r="9" spans="1:7" x14ac:dyDescent="0.25">
      <c r="A9" s="1" t="s">
        <v>201</v>
      </c>
      <c r="B9" s="1" t="s">
        <v>218</v>
      </c>
      <c r="C9" s="24">
        <v>5.1999999046325485</v>
      </c>
      <c r="D9">
        <v>22.499999999999964</v>
      </c>
      <c r="E9" s="10">
        <v>754.2628295545428</v>
      </c>
      <c r="F9" t="s">
        <v>222</v>
      </c>
      <c r="G9" t="s">
        <v>223</v>
      </c>
    </row>
    <row r="10" spans="1:7" x14ac:dyDescent="0.25">
      <c r="A10" s="1" t="s">
        <v>202</v>
      </c>
      <c r="B10" s="1" t="s">
        <v>218</v>
      </c>
      <c r="C10" s="24">
        <v>4.8999999046325655</v>
      </c>
      <c r="D10">
        <v>26.000000000000011</v>
      </c>
      <c r="E10" s="10">
        <v>716.29781230921947</v>
      </c>
      <c r="F10" t="s">
        <v>222</v>
      </c>
      <c r="G10" t="s">
        <v>223</v>
      </c>
    </row>
    <row r="11" spans="1:7" x14ac:dyDescent="0.25">
      <c r="A11" s="1" t="s">
        <v>203</v>
      </c>
      <c r="B11" s="1" t="s">
        <v>219</v>
      </c>
      <c r="C11" s="24">
        <v>9</v>
      </c>
      <c r="D11">
        <v>22.499999999999996</v>
      </c>
      <c r="E11" s="10">
        <v>5629.5337184378532</v>
      </c>
      <c r="F11" t="s">
        <v>222</v>
      </c>
      <c r="G11" t="s">
        <v>223</v>
      </c>
    </row>
    <row r="12" spans="1:7" x14ac:dyDescent="0.25">
      <c r="A12" s="1" t="s">
        <v>204</v>
      </c>
      <c r="B12" s="1" t="s">
        <v>219</v>
      </c>
      <c r="C12" s="24">
        <v>8.42</v>
      </c>
      <c r="D12">
        <v>22.49999999999995</v>
      </c>
      <c r="E12" s="10">
        <v>5971.5164470482832</v>
      </c>
      <c r="F12" t="s">
        <v>222</v>
      </c>
      <c r="G12" t="s">
        <v>223</v>
      </c>
    </row>
    <row r="13" spans="1:7" x14ac:dyDescent="0.25">
      <c r="A13" s="1" t="s">
        <v>205</v>
      </c>
      <c r="B13" s="1" t="s">
        <v>220</v>
      </c>
      <c r="C13" s="24">
        <v>10.200000000000001</v>
      </c>
      <c r="D13">
        <v>26.000000000000032</v>
      </c>
      <c r="E13" s="10">
        <v>6265.838676988933</v>
      </c>
      <c r="F13" t="s">
        <v>222</v>
      </c>
      <c r="G13" t="s">
        <v>223</v>
      </c>
    </row>
    <row r="14" spans="1:7" x14ac:dyDescent="0.25">
      <c r="A14" s="1" t="s">
        <v>206</v>
      </c>
      <c r="B14" s="1" t="s">
        <v>217</v>
      </c>
      <c r="C14" s="24">
        <v>7.6</v>
      </c>
      <c r="D14">
        <v>22.499999999999982</v>
      </c>
      <c r="E14" s="10">
        <v>1255.9258030778972</v>
      </c>
      <c r="F14" t="s">
        <v>222</v>
      </c>
      <c r="G14" t="s">
        <v>223</v>
      </c>
    </row>
    <row r="15" spans="1:7" x14ac:dyDescent="0.25">
      <c r="A15" s="1" t="s">
        <v>207</v>
      </c>
      <c r="B15" s="1" t="s">
        <v>217</v>
      </c>
      <c r="D15">
        <v>0</v>
      </c>
      <c r="E15" s="10">
        <v>300.088221336</v>
      </c>
      <c r="F15" t="s">
        <v>222</v>
      </c>
      <c r="G15" t="s">
        <v>223</v>
      </c>
    </row>
    <row r="16" spans="1:7" x14ac:dyDescent="0.25">
      <c r="A16" s="1" t="s">
        <v>208</v>
      </c>
      <c r="B16" s="1" t="s">
        <v>217</v>
      </c>
      <c r="C16" s="24">
        <v>7.6</v>
      </c>
      <c r="D16">
        <v>22.499999999999982</v>
      </c>
      <c r="E16" s="10">
        <v>1883.8887046168456</v>
      </c>
      <c r="F16" t="s">
        <v>222</v>
      </c>
      <c r="G16" t="s">
        <v>223</v>
      </c>
    </row>
    <row r="17" spans="1:7" x14ac:dyDescent="0.25">
      <c r="A17" s="1" t="s">
        <v>209</v>
      </c>
      <c r="B17" s="1" t="s">
        <v>217</v>
      </c>
      <c r="C17" s="24">
        <v>8.5999999999999854</v>
      </c>
      <c r="D17">
        <v>22.499999999999982</v>
      </c>
      <c r="E17" s="10">
        <v>4865.3271945581801</v>
      </c>
      <c r="F17" t="s">
        <v>222</v>
      </c>
      <c r="G17" t="s">
        <v>223</v>
      </c>
    </row>
    <row r="18" spans="1:7" x14ac:dyDescent="0.25">
      <c r="A18" s="1" t="s">
        <v>210</v>
      </c>
      <c r="B18" s="1" t="s">
        <v>217</v>
      </c>
      <c r="C18" s="24">
        <v>10.200000000000001</v>
      </c>
      <c r="D18">
        <v>26.000000000000025</v>
      </c>
      <c r="E18" s="10">
        <v>15349.880255114809</v>
      </c>
      <c r="F18" t="s">
        <v>222</v>
      </c>
      <c r="G18" t="s">
        <v>223</v>
      </c>
    </row>
    <row r="19" spans="1:7" x14ac:dyDescent="0.25">
      <c r="A19" s="1" t="s">
        <v>211</v>
      </c>
      <c r="B19" s="1" t="s">
        <v>221</v>
      </c>
      <c r="E19" s="10">
        <v>0</v>
      </c>
      <c r="F19" t="s">
        <v>222</v>
      </c>
      <c r="G19" t="s">
        <v>223</v>
      </c>
    </row>
    <row r="20" spans="1:7" x14ac:dyDescent="0.25">
      <c r="A20" s="1" t="s">
        <v>212</v>
      </c>
      <c r="B20" s="1" t="s">
        <v>221</v>
      </c>
      <c r="E20" s="10">
        <v>0</v>
      </c>
      <c r="F20" t="s">
        <v>222</v>
      </c>
      <c r="G20" t="s">
        <v>223</v>
      </c>
    </row>
    <row r="21" spans="1:7" x14ac:dyDescent="0.25">
      <c r="A21" s="1" t="s">
        <v>213</v>
      </c>
      <c r="B21" s="1" t="s">
        <v>221</v>
      </c>
      <c r="E21" s="10">
        <v>0</v>
      </c>
      <c r="F21" t="s">
        <v>222</v>
      </c>
      <c r="G21" t="s">
        <v>223</v>
      </c>
    </row>
    <row r="22" spans="1:7" x14ac:dyDescent="0.25">
      <c r="A22" s="1" t="s">
        <v>214</v>
      </c>
      <c r="B22" s="1" t="s">
        <v>221</v>
      </c>
      <c r="E22" s="10">
        <v>0</v>
      </c>
      <c r="F22" t="s">
        <v>222</v>
      </c>
      <c r="G22" t="s">
        <v>223</v>
      </c>
    </row>
    <row r="23" spans="1:7" x14ac:dyDescent="0.25">
      <c r="A23" s="1" t="s">
        <v>215</v>
      </c>
      <c r="B23" s="1" t="s">
        <v>221</v>
      </c>
      <c r="E23" s="10">
        <v>0</v>
      </c>
      <c r="F23" t="s">
        <v>222</v>
      </c>
      <c r="G23" t="s">
        <v>223</v>
      </c>
    </row>
    <row r="24" spans="1:7" x14ac:dyDescent="0.25">
      <c r="A24" s="1" t="s">
        <v>216</v>
      </c>
      <c r="B24" s="1" t="s">
        <v>221</v>
      </c>
      <c r="E24" s="10">
        <v>0</v>
      </c>
      <c r="F24" t="s">
        <v>222</v>
      </c>
      <c r="G24" t="s">
        <v>223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rames"/>
  <dimension ref="A1:BK1257"/>
  <sheetViews>
    <sheetView workbookViewId="0">
      <selection activeCell="A3" sqref="A3"/>
    </sheetView>
  </sheetViews>
  <sheetFormatPr defaultRowHeight="13.2" x14ac:dyDescent="0.25"/>
  <cols>
    <col min="1" max="1" width="15.6640625" customWidth="1"/>
    <col min="2" max="2" width="7.6640625" customWidth="1"/>
    <col min="3" max="3" width="16.5546875" bestFit="1" customWidth="1"/>
    <col min="4" max="4" width="5.88671875" customWidth="1"/>
    <col min="5" max="5" width="7.88671875" customWidth="1"/>
    <col min="6" max="6" width="13" customWidth="1"/>
    <col min="7" max="7" width="10.44140625" customWidth="1"/>
    <col min="8" max="8" width="8.6640625" customWidth="1"/>
    <col min="9" max="9" width="8.6640625" style="25" customWidth="1"/>
    <col min="10" max="10" width="12.88671875" customWidth="1"/>
    <col min="11" max="11" width="16.5546875" bestFit="1" customWidth="1"/>
    <col min="12" max="12" width="16.88671875" bestFit="1" customWidth="1"/>
    <col min="13" max="13" width="11.44140625" customWidth="1"/>
    <col min="14" max="14" width="14.88671875" style="25" bestFit="1" customWidth="1"/>
    <col min="15" max="15" width="22" style="25" bestFit="1" customWidth="1"/>
    <col min="16" max="16" width="14.6640625" style="25" bestFit="1" customWidth="1"/>
    <col min="17" max="17" width="21.88671875" style="25" bestFit="1" customWidth="1"/>
    <col min="18" max="18" width="17.6640625" style="25" bestFit="1" customWidth="1"/>
    <col min="19" max="19" width="25.88671875" style="25" bestFit="1" customWidth="1"/>
    <col min="20" max="20" width="15.109375" style="22" customWidth="1"/>
    <col min="21" max="21" width="11.44140625" style="22" customWidth="1"/>
    <col min="22" max="22" width="17.88671875" style="11" customWidth="1"/>
    <col min="23" max="24" width="9.109375" style="22" customWidth="1"/>
    <col min="25" max="25" width="14.6640625" style="22" customWidth="1"/>
    <col min="26" max="27" width="15.5546875" customWidth="1"/>
    <col min="28" max="28" width="14.6640625" style="22" customWidth="1"/>
    <col min="29" max="30" width="11.44140625" customWidth="1"/>
    <col min="31" max="32" width="11.44140625" style="25" customWidth="1"/>
    <col min="33" max="33" width="18.6640625" customWidth="1"/>
    <col min="34" max="34" width="22.88671875" customWidth="1"/>
    <col min="35" max="35" width="14.6640625" customWidth="1"/>
    <col min="36" max="36" width="18" customWidth="1"/>
    <col min="37" max="37" width="11.44140625" style="25" customWidth="1"/>
    <col min="38" max="38" width="18.88671875" style="25" bestFit="1" customWidth="1"/>
    <col min="39" max="39" width="18.88671875" style="25" customWidth="1"/>
    <col min="40" max="40" width="11.5546875" bestFit="1" customWidth="1"/>
    <col min="41" max="41" width="20.33203125" bestFit="1" customWidth="1"/>
    <col min="42" max="42" width="17.88671875" bestFit="1" customWidth="1"/>
    <col min="43" max="43" width="17" bestFit="1" customWidth="1"/>
    <col min="44" max="44" width="15.44140625" bestFit="1" customWidth="1"/>
    <col min="45" max="45" width="12.33203125" bestFit="1" customWidth="1"/>
    <col min="46" max="46" width="11" customWidth="1"/>
    <col min="47" max="47" width="14.44140625" customWidth="1"/>
    <col min="48" max="48" width="13.6640625" bestFit="1" customWidth="1"/>
    <col min="49" max="49" width="14.5546875" style="22" customWidth="1"/>
    <col min="50" max="50" width="11.88671875" style="22" customWidth="1"/>
    <col min="51" max="51" width="16.109375" style="22" customWidth="1"/>
    <col min="52" max="52" width="14.6640625" style="22" customWidth="1"/>
    <col min="53" max="53" width="19.109375" style="30" bestFit="1" customWidth="1"/>
    <col min="54" max="54" width="18.88671875" style="35" bestFit="1" customWidth="1"/>
    <col min="55" max="55" width="28.44140625" bestFit="1" customWidth="1"/>
    <col min="56" max="56" width="11.33203125" customWidth="1"/>
    <col min="57" max="57" width="23.88671875" customWidth="1"/>
    <col min="58" max="58" width="18.33203125" style="25" bestFit="1" customWidth="1"/>
    <col min="59" max="59" width="27.33203125" style="25" customWidth="1"/>
    <col min="60" max="60" width="26" style="25" customWidth="1"/>
    <col min="61" max="61" width="11.109375" customWidth="1"/>
    <col min="62" max="62" width="11.44140625" customWidth="1"/>
    <col min="63" max="63" width="12.88671875" bestFit="1" customWidth="1"/>
    <col min="64" max="271" width="11.44140625" customWidth="1"/>
  </cols>
  <sheetData>
    <row r="1" spans="1:63" s="15" customFormat="1" x14ac:dyDescent="0.25">
      <c r="A1" s="17" t="s">
        <v>8</v>
      </c>
      <c r="B1" s="17" t="s">
        <v>26</v>
      </c>
      <c r="C1" s="17" t="s">
        <v>164</v>
      </c>
      <c r="D1" s="17" t="s">
        <v>30</v>
      </c>
      <c r="E1" s="17" t="s">
        <v>82</v>
      </c>
      <c r="F1" s="17" t="s">
        <v>27</v>
      </c>
      <c r="G1" s="17" t="s">
        <v>165</v>
      </c>
      <c r="H1" s="17" t="s">
        <v>166</v>
      </c>
      <c r="I1" s="28" t="s">
        <v>28</v>
      </c>
      <c r="J1" s="33" t="s">
        <v>29</v>
      </c>
      <c r="K1" s="33" t="s">
        <v>167</v>
      </c>
      <c r="L1" s="33" t="s">
        <v>168</v>
      </c>
      <c r="M1" s="17" t="s">
        <v>48</v>
      </c>
      <c r="N1" s="28" t="s">
        <v>83</v>
      </c>
      <c r="O1" s="28" t="s">
        <v>124</v>
      </c>
      <c r="P1" s="28" t="s">
        <v>84</v>
      </c>
      <c r="Q1" s="28" t="s">
        <v>125</v>
      </c>
      <c r="R1" s="28" t="s">
        <v>112</v>
      </c>
      <c r="S1" s="28" t="s">
        <v>126</v>
      </c>
      <c r="T1" s="21" t="s">
        <v>32</v>
      </c>
      <c r="U1" s="21" t="s">
        <v>33</v>
      </c>
      <c r="V1" s="18" t="s">
        <v>180</v>
      </c>
      <c r="W1" s="21" t="s">
        <v>31</v>
      </c>
      <c r="X1" s="21" t="s">
        <v>146</v>
      </c>
      <c r="Y1" s="21" t="s">
        <v>37</v>
      </c>
      <c r="Z1" s="17" t="s">
        <v>89</v>
      </c>
      <c r="AA1" s="17" t="s">
        <v>38</v>
      </c>
      <c r="AB1" s="21" t="s">
        <v>39</v>
      </c>
      <c r="AC1" s="17" t="s">
        <v>46</v>
      </c>
      <c r="AD1" s="17" t="s">
        <v>45</v>
      </c>
      <c r="AE1" s="28" t="s">
        <v>93</v>
      </c>
      <c r="AF1" s="28" t="s">
        <v>94</v>
      </c>
      <c r="AG1" s="17" t="s">
        <v>100</v>
      </c>
      <c r="AH1" s="17" t="s">
        <v>101</v>
      </c>
      <c r="AI1" s="17" t="s">
        <v>95</v>
      </c>
      <c r="AJ1" s="17" t="s">
        <v>96</v>
      </c>
      <c r="AK1" s="28" t="s">
        <v>134</v>
      </c>
      <c r="AL1" s="28" t="s">
        <v>135</v>
      </c>
      <c r="AM1" s="28" t="s">
        <v>170</v>
      </c>
      <c r="AN1" s="28" t="s">
        <v>136</v>
      </c>
      <c r="AO1" s="28" t="s">
        <v>98</v>
      </c>
      <c r="AP1" s="28" t="s">
        <v>169</v>
      </c>
      <c r="AQ1" s="28" t="s">
        <v>171</v>
      </c>
      <c r="AR1" s="28" t="s">
        <v>172</v>
      </c>
      <c r="AS1" s="28" t="s">
        <v>173</v>
      </c>
      <c r="AT1" s="17" t="s">
        <v>97</v>
      </c>
      <c r="AU1" s="17" t="s">
        <v>102</v>
      </c>
      <c r="AV1" s="17" t="s">
        <v>104</v>
      </c>
      <c r="AW1" s="17" t="s">
        <v>107</v>
      </c>
      <c r="AX1" s="17" t="s">
        <v>108</v>
      </c>
      <c r="AY1" s="17" t="s">
        <v>105</v>
      </c>
      <c r="AZ1" s="17" t="s">
        <v>106</v>
      </c>
      <c r="BA1" s="21" t="s">
        <v>110</v>
      </c>
      <c r="BB1" s="21" t="s">
        <v>109</v>
      </c>
      <c r="BC1" s="31" t="s">
        <v>111</v>
      </c>
      <c r="BD1" s="38" t="s">
        <v>129</v>
      </c>
      <c r="BE1" s="38" t="s">
        <v>131</v>
      </c>
      <c r="BF1" s="38" t="s">
        <v>132</v>
      </c>
      <c r="BG1" s="38" t="s">
        <v>133</v>
      </c>
      <c r="BH1" s="38" t="s">
        <v>141</v>
      </c>
      <c r="BI1" s="38" t="s">
        <v>149</v>
      </c>
      <c r="BJ1" s="38" t="s">
        <v>150</v>
      </c>
      <c r="BK1" s="17" t="s">
        <v>174</v>
      </c>
    </row>
    <row r="2" spans="1:63" x14ac:dyDescent="0.25">
      <c r="A2" t="s">
        <v>224</v>
      </c>
      <c r="B2" t="s">
        <v>364</v>
      </c>
      <c r="C2">
        <v>8</v>
      </c>
      <c r="D2">
        <v>1</v>
      </c>
      <c r="E2" t="s">
        <v>34</v>
      </c>
      <c r="F2" t="s">
        <v>409</v>
      </c>
      <c r="G2">
        <v>1</v>
      </c>
      <c r="H2">
        <v>1</v>
      </c>
      <c r="I2" s="25">
        <v>5.78</v>
      </c>
      <c r="J2" t="s">
        <v>416</v>
      </c>
      <c r="K2">
        <v>40</v>
      </c>
      <c r="L2">
        <v>40</v>
      </c>
      <c r="M2">
        <v>1072.0000000000002</v>
      </c>
      <c r="N2" s="25">
        <v>0.66402219322373734</v>
      </c>
      <c r="O2" s="25">
        <v>8.3002774152967168E-2</v>
      </c>
      <c r="P2" s="25">
        <v>0.72184601355993483</v>
      </c>
      <c r="Q2" s="25">
        <v>9.0230751694991854E-2</v>
      </c>
      <c r="R2" s="25">
        <v>162.82752000000002</v>
      </c>
      <c r="S2" s="25">
        <v>20.353440000000003</v>
      </c>
      <c r="T2" s="22">
        <v>10</v>
      </c>
      <c r="U2" s="22">
        <v>0</v>
      </c>
      <c r="V2" s="11">
        <v>714.96912708419404</v>
      </c>
      <c r="W2" s="22">
        <v>1</v>
      </c>
      <c r="X2" s="22">
        <v>1</v>
      </c>
      <c r="Y2" s="22" t="s">
        <v>364</v>
      </c>
      <c r="Z2" s="11"/>
      <c r="AA2" s="11" t="s">
        <v>194</v>
      </c>
      <c r="AB2" s="22">
        <v>1</v>
      </c>
      <c r="AC2" s="11" t="s">
        <v>223</v>
      </c>
      <c r="AD2" t="s">
        <v>222</v>
      </c>
      <c r="AE2" s="25">
        <v>6600</v>
      </c>
      <c r="AF2" s="25">
        <v>1151.7934518903494</v>
      </c>
      <c r="AG2">
        <v>6</v>
      </c>
      <c r="AH2">
        <v>1</v>
      </c>
      <c r="AK2" s="25">
        <v>0.54450083594510779</v>
      </c>
      <c r="AL2" s="25">
        <v>9.403582741686134E-2</v>
      </c>
      <c r="AM2" s="25">
        <v>7</v>
      </c>
      <c r="AN2">
        <v>1.32</v>
      </c>
      <c r="AO2">
        <v>0.21166666666666667</v>
      </c>
      <c r="AP2">
        <v>10</v>
      </c>
      <c r="AQ2">
        <v>0</v>
      </c>
      <c r="AR2">
        <v>0</v>
      </c>
      <c r="AS2">
        <v>0</v>
      </c>
      <c r="AT2" t="b">
        <v>0</v>
      </c>
      <c r="AU2" t="b">
        <v>0</v>
      </c>
      <c r="AV2">
        <v>2</v>
      </c>
      <c r="AW2" s="22" t="b">
        <v>0</v>
      </c>
      <c r="AX2" s="22" t="b">
        <v>0</v>
      </c>
      <c r="AY2" s="22">
        <v>410</v>
      </c>
      <c r="AZ2" s="22">
        <v>410</v>
      </c>
      <c r="BA2" s="30">
        <v>6600</v>
      </c>
      <c r="BB2" s="35">
        <v>1151.7934518903494</v>
      </c>
      <c r="BC2" s="25"/>
      <c r="BD2" s="25">
        <v>46.741597739154933</v>
      </c>
      <c r="BE2" s="25"/>
    </row>
    <row r="3" spans="1:63" x14ac:dyDescent="0.25">
      <c r="A3" t="s">
        <v>225</v>
      </c>
      <c r="B3" t="s">
        <v>364</v>
      </c>
      <c r="C3">
        <v>8</v>
      </c>
      <c r="D3">
        <v>1</v>
      </c>
      <c r="E3" t="s">
        <v>34</v>
      </c>
      <c r="F3" t="s">
        <v>409</v>
      </c>
      <c r="G3">
        <v>1</v>
      </c>
      <c r="H3">
        <v>1</v>
      </c>
      <c r="I3" s="25">
        <v>5.78</v>
      </c>
      <c r="J3" t="s">
        <v>416</v>
      </c>
      <c r="K3">
        <v>40</v>
      </c>
      <c r="L3">
        <v>40</v>
      </c>
      <c r="M3">
        <v>1072.0000000000002</v>
      </c>
      <c r="N3" s="25">
        <v>0.66402219322373734</v>
      </c>
      <c r="O3" s="25">
        <v>8.3002774152967168E-2</v>
      </c>
      <c r="P3" s="25">
        <v>0.72184601355993483</v>
      </c>
      <c r="Q3" s="25">
        <v>9.0230751694991854E-2</v>
      </c>
      <c r="R3" s="25">
        <v>162.82752000000002</v>
      </c>
      <c r="S3" s="25">
        <v>20.353440000000003</v>
      </c>
      <c r="T3" s="22">
        <v>10</v>
      </c>
      <c r="U3" s="22">
        <v>0</v>
      </c>
      <c r="V3" s="11">
        <v>714.96912708419404</v>
      </c>
      <c r="W3" s="22">
        <v>1</v>
      </c>
      <c r="X3" s="22">
        <v>1</v>
      </c>
      <c r="Y3" s="22" t="s">
        <v>364</v>
      </c>
      <c r="AA3" t="s">
        <v>194</v>
      </c>
      <c r="AB3" s="22">
        <v>1</v>
      </c>
      <c r="AC3" t="s">
        <v>223</v>
      </c>
      <c r="AD3" t="s">
        <v>222</v>
      </c>
      <c r="AE3" s="25">
        <v>6600</v>
      </c>
      <c r="AF3" s="25">
        <v>1151.7934518903494</v>
      </c>
      <c r="AG3">
        <v>6</v>
      </c>
      <c r="AH3">
        <v>1</v>
      </c>
      <c r="AK3" s="25">
        <v>0.54450083594510779</v>
      </c>
      <c r="AL3" s="25">
        <v>9.403582741686134E-2</v>
      </c>
      <c r="AM3" s="25">
        <v>7</v>
      </c>
      <c r="AN3">
        <v>1.32</v>
      </c>
      <c r="AO3">
        <v>0.21166666666666667</v>
      </c>
      <c r="AP3">
        <v>10</v>
      </c>
      <c r="AQ3">
        <v>0</v>
      </c>
      <c r="AR3">
        <v>0</v>
      </c>
      <c r="AS3">
        <v>0</v>
      </c>
      <c r="AT3" t="b">
        <v>0</v>
      </c>
      <c r="AU3" t="b">
        <v>0</v>
      </c>
      <c r="AV3">
        <v>2</v>
      </c>
      <c r="AW3" s="22" t="b">
        <v>0</v>
      </c>
      <c r="AX3" s="22" t="b">
        <v>0</v>
      </c>
      <c r="AY3" s="22">
        <v>410</v>
      </c>
      <c r="AZ3" s="22">
        <v>410</v>
      </c>
      <c r="BA3" s="30">
        <v>6600</v>
      </c>
      <c r="BB3" s="35">
        <v>1151.7934518903494</v>
      </c>
      <c r="BD3" s="25">
        <v>46.741597739154933</v>
      </c>
      <c r="BE3" s="25"/>
    </row>
    <row r="4" spans="1:63" x14ac:dyDescent="0.25">
      <c r="A4" t="s">
        <v>226</v>
      </c>
      <c r="B4" t="s">
        <v>364</v>
      </c>
      <c r="C4">
        <v>8</v>
      </c>
      <c r="D4">
        <v>1</v>
      </c>
      <c r="E4" t="s">
        <v>34</v>
      </c>
      <c r="F4" t="s">
        <v>409</v>
      </c>
      <c r="G4">
        <v>1</v>
      </c>
      <c r="H4">
        <v>1</v>
      </c>
      <c r="I4" s="25">
        <v>5.78</v>
      </c>
      <c r="J4" t="s">
        <v>416</v>
      </c>
      <c r="K4">
        <v>40</v>
      </c>
      <c r="L4">
        <v>40</v>
      </c>
      <c r="M4">
        <v>1072.0000000000002</v>
      </c>
      <c r="N4" s="25">
        <v>0.66402219322373734</v>
      </c>
      <c r="O4" s="25">
        <v>8.3002774152967168E-2</v>
      </c>
      <c r="P4" s="25">
        <v>0.72184601355993483</v>
      </c>
      <c r="Q4" s="25">
        <v>9.0230751694991854E-2</v>
      </c>
      <c r="R4" s="25">
        <v>162.82752000000002</v>
      </c>
      <c r="S4" s="25">
        <v>20.353440000000003</v>
      </c>
      <c r="T4" s="22">
        <v>10</v>
      </c>
      <c r="U4" s="22">
        <v>0</v>
      </c>
      <c r="V4" s="11">
        <v>714.96912708419404</v>
      </c>
      <c r="W4" s="22">
        <v>1</v>
      </c>
      <c r="X4" s="22">
        <v>1</v>
      </c>
      <c r="Y4" s="22" t="s">
        <v>364</v>
      </c>
      <c r="AA4" t="s">
        <v>194</v>
      </c>
      <c r="AB4" s="22">
        <v>1</v>
      </c>
      <c r="AC4" t="s">
        <v>223</v>
      </c>
      <c r="AD4" t="s">
        <v>222</v>
      </c>
      <c r="AE4" s="25">
        <v>6600</v>
      </c>
      <c r="AF4" s="25">
        <v>1151.7934518903494</v>
      </c>
      <c r="AG4">
        <v>6</v>
      </c>
      <c r="AH4">
        <v>1</v>
      </c>
      <c r="AK4" s="25">
        <v>0.54450083594510779</v>
      </c>
      <c r="AL4" s="25">
        <v>9.403582741686134E-2</v>
      </c>
      <c r="AM4" s="25">
        <v>7</v>
      </c>
      <c r="AN4">
        <v>1.32</v>
      </c>
      <c r="AO4">
        <v>0.21166666666666667</v>
      </c>
      <c r="AP4">
        <v>10</v>
      </c>
      <c r="AQ4">
        <v>0</v>
      </c>
      <c r="AR4">
        <v>0</v>
      </c>
      <c r="AS4">
        <v>0</v>
      </c>
      <c r="AT4" t="b">
        <v>0</v>
      </c>
      <c r="AU4" t="b">
        <v>0</v>
      </c>
      <c r="AV4">
        <v>2</v>
      </c>
      <c r="AW4" s="22" t="b">
        <v>0</v>
      </c>
      <c r="AX4" s="22" t="b">
        <v>0</v>
      </c>
      <c r="AY4" s="22">
        <v>410</v>
      </c>
      <c r="AZ4" s="22">
        <v>410</v>
      </c>
      <c r="BA4" s="2">
        <v>6600</v>
      </c>
      <c r="BB4" s="35">
        <v>1151.7934518903494</v>
      </c>
      <c r="BC4" s="25"/>
      <c r="BD4" s="25">
        <v>46.741597739154933</v>
      </c>
      <c r="BE4" s="25"/>
    </row>
    <row r="5" spans="1:63" x14ac:dyDescent="0.25">
      <c r="A5" t="s">
        <v>227</v>
      </c>
      <c r="B5" t="s">
        <v>364</v>
      </c>
      <c r="C5">
        <v>8</v>
      </c>
      <c r="D5">
        <v>1</v>
      </c>
      <c r="E5" t="s">
        <v>34</v>
      </c>
      <c r="F5" t="s">
        <v>409</v>
      </c>
      <c r="G5">
        <v>1</v>
      </c>
      <c r="H5">
        <v>1</v>
      </c>
      <c r="I5" s="25">
        <v>5.78</v>
      </c>
      <c r="J5" t="s">
        <v>416</v>
      </c>
      <c r="K5">
        <v>40</v>
      </c>
      <c r="L5">
        <v>40</v>
      </c>
      <c r="M5">
        <v>1072.0000000000002</v>
      </c>
      <c r="N5" s="25">
        <v>0.66402219322373734</v>
      </c>
      <c r="O5" s="25">
        <v>8.3002774152967168E-2</v>
      </c>
      <c r="P5" s="25">
        <v>0.72184601355993483</v>
      </c>
      <c r="Q5" s="25">
        <v>9.0230751694991854E-2</v>
      </c>
      <c r="R5" s="25">
        <v>162.82752000000002</v>
      </c>
      <c r="S5" s="25">
        <v>20.353440000000003</v>
      </c>
      <c r="T5" s="22">
        <v>10</v>
      </c>
      <c r="U5" s="22">
        <v>0</v>
      </c>
      <c r="V5" s="11">
        <v>714.96912708419404</v>
      </c>
      <c r="W5" s="22">
        <v>1</v>
      </c>
      <c r="X5" s="22">
        <v>1</v>
      </c>
      <c r="Y5" s="22" t="s">
        <v>364</v>
      </c>
      <c r="AA5" t="s">
        <v>194</v>
      </c>
      <c r="AB5" s="22">
        <v>1</v>
      </c>
      <c r="AC5" t="s">
        <v>223</v>
      </c>
      <c r="AD5" t="s">
        <v>222</v>
      </c>
      <c r="AE5" s="25">
        <v>6600</v>
      </c>
      <c r="AF5" s="25">
        <v>1151.7934518903494</v>
      </c>
      <c r="AG5">
        <v>6</v>
      </c>
      <c r="AH5">
        <v>1</v>
      </c>
      <c r="AK5" s="25">
        <v>0.54450083594510779</v>
      </c>
      <c r="AL5" s="25">
        <v>9.403582741686134E-2</v>
      </c>
      <c r="AM5" s="25">
        <v>7</v>
      </c>
      <c r="AN5">
        <v>1.32</v>
      </c>
      <c r="AO5">
        <v>0.21166666666666667</v>
      </c>
      <c r="AP5">
        <v>10</v>
      </c>
      <c r="AQ5">
        <v>0</v>
      </c>
      <c r="AR5">
        <v>0</v>
      </c>
      <c r="AS5">
        <v>0</v>
      </c>
      <c r="AT5" t="b">
        <v>0</v>
      </c>
      <c r="AU5" t="b">
        <v>0</v>
      </c>
      <c r="AV5">
        <v>2</v>
      </c>
      <c r="AW5" s="22" t="b">
        <v>0</v>
      </c>
      <c r="AX5" s="22" t="b">
        <v>0</v>
      </c>
      <c r="AY5" s="22">
        <v>410</v>
      </c>
      <c r="AZ5" s="22">
        <v>410</v>
      </c>
      <c r="BA5" s="30">
        <v>6600</v>
      </c>
      <c r="BB5" s="35">
        <v>1151.7934518903494</v>
      </c>
      <c r="BC5" s="25"/>
      <c r="BD5" s="25">
        <v>46.741597739154933</v>
      </c>
      <c r="BE5" s="25"/>
    </row>
    <row r="6" spans="1:63" x14ac:dyDescent="0.25">
      <c r="A6" t="s">
        <v>228</v>
      </c>
      <c r="B6" t="s">
        <v>364</v>
      </c>
      <c r="C6">
        <v>8</v>
      </c>
      <c r="D6">
        <v>1</v>
      </c>
      <c r="E6" t="s">
        <v>34</v>
      </c>
      <c r="F6" t="s">
        <v>409</v>
      </c>
      <c r="G6">
        <v>1</v>
      </c>
      <c r="H6">
        <v>1</v>
      </c>
      <c r="I6" s="25">
        <v>5.78</v>
      </c>
      <c r="J6" t="s">
        <v>416</v>
      </c>
      <c r="K6">
        <v>40</v>
      </c>
      <c r="L6">
        <v>40</v>
      </c>
      <c r="M6">
        <v>1072.0000000000002</v>
      </c>
      <c r="N6" s="25">
        <v>0.66402219322373734</v>
      </c>
      <c r="O6" s="25">
        <v>8.3002774152967168E-2</v>
      </c>
      <c r="P6" s="25">
        <v>0.72184601355993483</v>
      </c>
      <c r="Q6" s="25">
        <v>9.0230751694991854E-2</v>
      </c>
      <c r="R6" s="25">
        <v>162.82752000000002</v>
      </c>
      <c r="S6" s="25">
        <v>20.353440000000003</v>
      </c>
      <c r="T6" s="22">
        <v>10</v>
      </c>
      <c r="U6" s="22">
        <v>0</v>
      </c>
      <c r="V6" s="11">
        <v>714.96912708419404</v>
      </c>
      <c r="W6" s="22">
        <v>1</v>
      </c>
      <c r="X6" s="22">
        <v>1</v>
      </c>
      <c r="Y6" s="22" t="s">
        <v>364</v>
      </c>
      <c r="AA6" t="s">
        <v>194</v>
      </c>
      <c r="AB6" s="22">
        <v>1</v>
      </c>
      <c r="AC6" t="s">
        <v>223</v>
      </c>
      <c r="AD6" t="s">
        <v>222</v>
      </c>
      <c r="AE6" s="25">
        <v>6600</v>
      </c>
      <c r="AF6" s="25">
        <v>1151.7934518903494</v>
      </c>
      <c r="AG6">
        <v>6</v>
      </c>
      <c r="AH6">
        <v>1</v>
      </c>
      <c r="AK6" s="25">
        <v>0.54450083594510779</v>
      </c>
      <c r="AL6" s="25">
        <v>9.403582741686134E-2</v>
      </c>
      <c r="AM6" s="25">
        <v>7</v>
      </c>
      <c r="AN6">
        <v>1.32</v>
      </c>
      <c r="AO6">
        <v>0.21166666666666667</v>
      </c>
      <c r="AP6">
        <v>10</v>
      </c>
      <c r="AQ6">
        <v>0</v>
      </c>
      <c r="AR6">
        <v>0</v>
      </c>
      <c r="AS6">
        <v>0</v>
      </c>
      <c r="AT6" t="b">
        <v>0</v>
      </c>
      <c r="AU6" t="b">
        <v>0</v>
      </c>
      <c r="AV6">
        <v>2</v>
      </c>
      <c r="AW6" s="22" t="b">
        <v>0</v>
      </c>
      <c r="AX6" s="22" t="b">
        <v>0</v>
      </c>
      <c r="AY6" s="22">
        <v>410</v>
      </c>
      <c r="AZ6" s="22">
        <v>410</v>
      </c>
      <c r="BA6" s="30">
        <v>6600</v>
      </c>
      <c r="BB6" s="35">
        <v>1151.7934518903494</v>
      </c>
      <c r="BC6" s="25"/>
      <c r="BD6" s="25">
        <v>46.741597739154933</v>
      </c>
      <c r="BE6" s="25"/>
    </row>
    <row r="7" spans="1:63" x14ac:dyDescent="0.25">
      <c r="A7" t="s">
        <v>229</v>
      </c>
      <c r="B7" t="s">
        <v>364</v>
      </c>
      <c r="C7">
        <v>8</v>
      </c>
      <c r="D7">
        <v>1</v>
      </c>
      <c r="E7" t="s">
        <v>34</v>
      </c>
      <c r="F7" t="s">
        <v>409</v>
      </c>
      <c r="G7">
        <v>1</v>
      </c>
      <c r="H7">
        <v>1</v>
      </c>
      <c r="I7" s="25">
        <v>5.78</v>
      </c>
      <c r="J7" t="s">
        <v>416</v>
      </c>
      <c r="K7">
        <v>40</v>
      </c>
      <c r="L7">
        <v>40</v>
      </c>
      <c r="M7">
        <v>1072.0000000000002</v>
      </c>
      <c r="N7" s="25">
        <v>0.66402219322373734</v>
      </c>
      <c r="O7" s="25">
        <v>8.3002774152967168E-2</v>
      </c>
      <c r="P7" s="25">
        <v>0.72184601355993483</v>
      </c>
      <c r="Q7" s="25">
        <v>9.0230751694991854E-2</v>
      </c>
      <c r="R7" s="25">
        <v>162.82752000000002</v>
      </c>
      <c r="S7" s="25">
        <v>20.353440000000003</v>
      </c>
      <c r="T7" s="22">
        <v>10</v>
      </c>
      <c r="U7" s="22">
        <v>0</v>
      </c>
      <c r="V7" s="11">
        <v>714.96912708419404</v>
      </c>
      <c r="W7" s="22">
        <v>1</v>
      </c>
      <c r="X7" s="22">
        <v>1</v>
      </c>
      <c r="Y7" s="22" t="s">
        <v>364</v>
      </c>
      <c r="AA7" t="s">
        <v>194</v>
      </c>
      <c r="AB7" s="22">
        <v>1</v>
      </c>
      <c r="AC7" t="s">
        <v>223</v>
      </c>
      <c r="AD7" t="s">
        <v>222</v>
      </c>
      <c r="AE7" s="25">
        <v>6600</v>
      </c>
      <c r="AF7" s="25">
        <v>1151.7934518903494</v>
      </c>
      <c r="AG7">
        <v>6</v>
      </c>
      <c r="AH7">
        <v>1</v>
      </c>
      <c r="AK7" s="25">
        <v>0.54450083594510779</v>
      </c>
      <c r="AL7" s="25">
        <v>9.403582741686134E-2</v>
      </c>
      <c r="AM7" s="25">
        <v>7</v>
      </c>
      <c r="AN7">
        <v>1.32</v>
      </c>
      <c r="AO7">
        <v>0.21166666666666667</v>
      </c>
      <c r="AP7">
        <v>10</v>
      </c>
      <c r="AQ7">
        <v>0</v>
      </c>
      <c r="AR7">
        <v>0</v>
      </c>
      <c r="AS7">
        <v>0</v>
      </c>
      <c r="AT7" t="b">
        <v>0</v>
      </c>
      <c r="AU7" t="b">
        <v>0</v>
      </c>
      <c r="AV7">
        <v>2</v>
      </c>
      <c r="AW7" s="22" t="b">
        <v>0</v>
      </c>
      <c r="AX7" s="22" t="b">
        <v>0</v>
      </c>
      <c r="AY7" s="22">
        <v>410</v>
      </c>
      <c r="AZ7" s="22">
        <v>410</v>
      </c>
      <c r="BA7" s="30">
        <v>6600</v>
      </c>
      <c r="BB7" s="35">
        <v>1151.7934518903494</v>
      </c>
      <c r="BC7" s="25"/>
      <c r="BD7" s="25">
        <v>46.741597739154933</v>
      </c>
      <c r="BE7" s="25"/>
    </row>
    <row r="8" spans="1:63" x14ac:dyDescent="0.25">
      <c r="A8" t="s">
        <v>230</v>
      </c>
      <c r="B8" t="s">
        <v>364</v>
      </c>
      <c r="C8">
        <v>8</v>
      </c>
      <c r="D8">
        <v>1</v>
      </c>
      <c r="E8" t="s">
        <v>34</v>
      </c>
      <c r="F8" t="s">
        <v>409</v>
      </c>
      <c r="G8">
        <v>1</v>
      </c>
      <c r="H8">
        <v>1</v>
      </c>
      <c r="I8" s="25">
        <v>5.78</v>
      </c>
      <c r="J8" t="s">
        <v>416</v>
      </c>
      <c r="K8">
        <v>40</v>
      </c>
      <c r="L8">
        <v>40</v>
      </c>
      <c r="M8">
        <v>1072.0000000000002</v>
      </c>
      <c r="N8" s="25">
        <v>0.66402219322373734</v>
      </c>
      <c r="O8" s="25">
        <v>8.3002774152967168E-2</v>
      </c>
      <c r="P8" s="25">
        <v>0.72184601355993483</v>
      </c>
      <c r="Q8" s="25">
        <v>9.0230751694991854E-2</v>
      </c>
      <c r="R8" s="25">
        <v>162.82752000000002</v>
      </c>
      <c r="S8" s="25">
        <v>20.353440000000003</v>
      </c>
      <c r="T8" s="22">
        <v>10</v>
      </c>
      <c r="U8" s="22">
        <v>0</v>
      </c>
      <c r="V8" s="11">
        <v>714.96912708419404</v>
      </c>
      <c r="W8" s="22">
        <v>1</v>
      </c>
      <c r="X8" s="22">
        <v>1</v>
      </c>
      <c r="Y8" s="22" t="s">
        <v>364</v>
      </c>
      <c r="AA8" t="s">
        <v>194</v>
      </c>
      <c r="AB8" s="22">
        <v>1</v>
      </c>
      <c r="AC8" t="s">
        <v>223</v>
      </c>
      <c r="AD8" t="s">
        <v>222</v>
      </c>
      <c r="AE8" s="25">
        <v>6600</v>
      </c>
      <c r="AF8" s="25">
        <v>1151.7934518903494</v>
      </c>
      <c r="AG8">
        <v>6</v>
      </c>
      <c r="AH8">
        <v>1</v>
      </c>
      <c r="AK8" s="25">
        <v>0.54450083594510779</v>
      </c>
      <c r="AL8" s="25">
        <v>9.403582741686134E-2</v>
      </c>
      <c r="AM8" s="25">
        <v>7</v>
      </c>
      <c r="AN8">
        <v>1.32</v>
      </c>
      <c r="AO8">
        <v>0.21166666666666667</v>
      </c>
      <c r="AP8">
        <v>10</v>
      </c>
      <c r="AQ8">
        <v>0</v>
      </c>
      <c r="AR8">
        <v>0</v>
      </c>
      <c r="AS8">
        <v>0</v>
      </c>
      <c r="AT8" t="b">
        <v>0</v>
      </c>
      <c r="AU8" t="b">
        <v>0</v>
      </c>
      <c r="AV8">
        <v>2</v>
      </c>
      <c r="AW8" s="22" t="b">
        <v>0</v>
      </c>
      <c r="AX8" s="22" t="b">
        <v>0</v>
      </c>
      <c r="AY8" s="22">
        <v>410</v>
      </c>
      <c r="AZ8" s="22">
        <v>410</v>
      </c>
      <c r="BA8" s="30">
        <v>6600</v>
      </c>
      <c r="BB8" s="35">
        <v>1151.7934518903494</v>
      </c>
      <c r="BC8" s="25"/>
      <c r="BD8" s="25">
        <v>46.741597739154933</v>
      </c>
      <c r="BE8" s="25"/>
    </row>
    <row r="9" spans="1:63" x14ac:dyDescent="0.25">
      <c r="A9" t="s">
        <v>231</v>
      </c>
      <c r="B9" t="s">
        <v>364</v>
      </c>
      <c r="C9">
        <v>8</v>
      </c>
      <c r="D9">
        <v>1</v>
      </c>
      <c r="E9" t="s">
        <v>34</v>
      </c>
      <c r="F9" t="s">
        <v>409</v>
      </c>
      <c r="G9">
        <v>1</v>
      </c>
      <c r="H9">
        <v>1</v>
      </c>
      <c r="I9" s="25">
        <v>5.78</v>
      </c>
      <c r="J9" t="s">
        <v>416</v>
      </c>
      <c r="K9">
        <v>40</v>
      </c>
      <c r="L9">
        <v>40</v>
      </c>
      <c r="M9">
        <v>1072.0000000000002</v>
      </c>
      <c r="N9" s="25">
        <v>0.66402219322373734</v>
      </c>
      <c r="O9" s="25">
        <v>8.3002774152967168E-2</v>
      </c>
      <c r="P9" s="25">
        <v>0.72184601355993483</v>
      </c>
      <c r="Q9" s="25">
        <v>9.0230751694991854E-2</v>
      </c>
      <c r="R9" s="25">
        <v>162.82752000000002</v>
      </c>
      <c r="S9" s="25">
        <v>20.353440000000003</v>
      </c>
      <c r="T9" s="22">
        <v>10</v>
      </c>
      <c r="U9" s="22">
        <v>0</v>
      </c>
      <c r="V9" s="11">
        <v>714.96912708419404</v>
      </c>
      <c r="W9" s="22">
        <v>1</v>
      </c>
      <c r="X9" s="22">
        <v>1</v>
      </c>
      <c r="Y9" s="22" t="s">
        <v>364</v>
      </c>
      <c r="AA9" t="s">
        <v>194</v>
      </c>
      <c r="AB9" s="22">
        <v>1</v>
      </c>
      <c r="AC9" t="s">
        <v>223</v>
      </c>
      <c r="AD9" t="s">
        <v>222</v>
      </c>
      <c r="AE9" s="25">
        <v>6600</v>
      </c>
      <c r="AF9" s="25">
        <v>1151.7934518903494</v>
      </c>
      <c r="AG9">
        <v>6</v>
      </c>
      <c r="AH9">
        <v>1</v>
      </c>
      <c r="AK9" s="25">
        <v>0.54450083594510779</v>
      </c>
      <c r="AL9" s="25">
        <v>9.403582741686134E-2</v>
      </c>
      <c r="AM9" s="25">
        <v>7</v>
      </c>
      <c r="AN9">
        <v>1.32</v>
      </c>
      <c r="AO9">
        <v>0.21166666666666667</v>
      </c>
      <c r="AP9">
        <v>10</v>
      </c>
      <c r="AQ9">
        <v>0</v>
      </c>
      <c r="AR9">
        <v>0</v>
      </c>
      <c r="AS9">
        <v>0</v>
      </c>
      <c r="AT9" t="b">
        <v>0</v>
      </c>
      <c r="AU9" t="b">
        <v>0</v>
      </c>
      <c r="AV9">
        <v>2</v>
      </c>
      <c r="AW9" s="22" t="b">
        <v>0</v>
      </c>
      <c r="AX9" s="22" t="b">
        <v>0</v>
      </c>
      <c r="AY9" s="22">
        <v>410</v>
      </c>
      <c r="AZ9" s="22">
        <v>410</v>
      </c>
      <c r="BA9" s="30">
        <v>6600</v>
      </c>
      <c r="BB9" s="35">
        <v>1151.7934518903494</v>
      </c>
      <c r="BC9" s="25"/>
      <c r="BD9" s="25">
        <v>46.741597739154933</v>
      </c>
      <c r="BE9" s="25"/>
    </row>
    <row r="10" spans="1:63" x14ac:dyDescent="0.25">
      <c r="A10" t="s">
        <v>232</v>
      </c>
      <c r="B10" t="s">
        <v>365</v>
      </c>
      <c r="C10">
        <v>8</v>
      </c>
      <c r="D10">
        <v>1</v>
      </c>
      <c r="E10" t="s">
        <v>34</v>
      </c>
      <c r="F10" t="s">
        <v>409</v>
      </c>
      <c r="G10">
        <v>1</v>
      </c>
      <c r="H10">
        <v>1</v>
      </c>
      <c r="I10" s="25">
        <v>5.780000000000002</v>
      </c>
      <c r="J10" t="s">
        <v>417</v>
      </c>
      <c r="K10">
        <v>15</v>
      </c>
      <c r="L10">
        <v>15</v>
      </c>
      <c r="M10">
        <v>1071.9999999999998</v>
      </c>
      <c r="N10" s="25">
        <v>0.61278787277622548</v>
      </c>
      <c r="O10" s="25">
        <v>7.6598484097028186E-2</v>
      </c>
      <c r="P10" s="25">
        <v>0.65846400000000005</v>
      </c>
      <c r="Q10" s="25">
        <v>8.2308000000000006E-2</v>
      </c>
      <c r="R10" s="25">
        <v>174.23840000000001</v>
      </c>
      <c r="S10" s="25">
        <v>21.779800000000002</v>
      </c>
      <c r="T10" s="22">
        <v>8</v>
      </c>
      <c r="U10" s="22">
        <v>0</v>
      </c>
      <c r="V10" s="11">
        <v>701.25400001992693</v>
      </c>
      <c r="W10" s="22">
        <v>1</v>
      </c>
      <c r="X10" s="22">
        <v>1</v>
      </c>
      <c r="Y10" s="22" t="s">
        <v>365</v>
      </c>
      <c r="AA10" t="s">
        <v>195</v>
      </c>
      <c r="AB10" s="22">
        <v>1</v>
      </c>
      <c r="AC10" t="s">
        <v>223</v>
      </c>
      <c r="AD10" t="s">
        <v>222</v>
      </c>
      <c r="AE10" s="25">
        <v>6600.0000000000018</v>
      </c>
      <c r="AF10" s="25">
        <v>2084.333824666217</v>
      </c>
      <c r="AG10">
        <v>4</v>
      </c>
      <c r="AH10">
        <v>1</v>
      </c>
      <c r="AK10" s="25">
        <v>0.37285975296457691</v>
      </c>
      <c r="AL10" s="25">
        <v>7.1912003564749943E-2</v>
      </c>
      <c r="AM10" s="25">
        <v>5</v>
      </c>
      <c r="AN10">
        <v>0.98</v>
      </c>
      <c r="AO10">
        <v>0.16777777777777778</v>
      </c>
      <c r="AP10">
        <v>8</v>
      </c>
      <c r="AQ10">
        <v>0</v>
      </c>
      <c r="AR10">
        <v>0</v>
      </c>
      <c r="AS10">
        <v>0</v>
      </c>
      <c r="AT10" t="b">
        <v>0</v>
      </c>
      <c r="AU10" t="b">
        <v>0</v>
      </c>
      <c r="AV10">
        <v>2</v>
      </c>
      <c r="AW10" s="22" t="b">
        <v>0</v>
      </c>
      <c r="AX10" s="22" t="b">
        <v>0</v>
      </c>
      <c r="AY10" s="22">
        <v>410</v>
      </c>
      <c r="AZ10" s="22">
        <v>410</v>
      </c>
      <c r="BA10" s="30">
        <v>6600.0000000000018</v>
      </c>
      <c r="BB10" s="35">
        <v>2084.333824666217</v>
      </c>
      <c r="BC10" s="25"/>
      <c r="BD10" s="25">
        <v>43.265281842757958</v>
      </c>
      <c r="BE10" s="25"/>
    </row>
    <row r="11" spans="1:63" x14ac:dyDescent="0.25">
      <c r="A11" t="s">
        <v>233</v>
      </c>
      <c r="B11" t="s">
        <v>365</v>
      </c>
      <c r="C11">
        <v>8</v>
      </c>
      <c r="D11">
        <v>1</v>
      </c>
      <c r="E11" t="s">
        <v>34</v>
      </c>
      <c r="F11" t="s">
        <v>409</v>
      </c>
      <c r="G11">
        <v>1</v>
      </c>
      <c r="H11">
        <v>1</v>
      </c>
      <c r="I11" s="25">
        <v>5.780000000000002</v>
      </c>
      <c r="J11" t="s">
        <v>417</v>
      </c>
      <c r="K11">
        <v>15</v>
      </c>
      <c r="L11">
        <v>15</v>
      </c>
      <c r="M11">
        <v>1071.9999999999998</v>
      </c>
      <c r="N11" s="25">
        <v>0.61278787277622548</v>
      </c>
      <c r="O11" s="25">
        <v>7.6598484097028186E-2</v>
      </c>
      <c r="P11" s="25">
        <v>0.65846400000000005</v>
      </c>
      <c r="Q11" s="25">
        <v>8.2308000000000006E-2</v>
      </c>
      <c r="R11" s="25">
        <v>174.23840000000001</v>
      </c>
      <c r="S11" s="25">
        <v>21.779800000000002</v>
      </c>
      <c r="T11" s="22">
        <v>8</v>
      </c>
      <c r="U11" s="22">
        <v>0</v>
      </c>
      <c r="V11" s="11">
        <v>701.25400001992693</v>
      </c>
      <c r="W11" s="22">
        <v>1</v>
      </c>
      <c r="X11" s="22">
        <v>1</v>
      </c>
      <c r="Y11" s="22" t="s">
        <v>365</v>
      </c>
      <c r="AA11" t="s">
        <v>195</v>
      </c>
      <c r="AB11" s="22">
        <v>1</v>
      </c>
      <c r="AC11" t="s">
        <v>223</v>
      </c>
      <c r="AD11" t="s">
        <v>222</v>
      </c>
      <c r="AE11" s="25">
        <v>6600.0000000000018</v>
      </c>
      <c r="AF11" s="25">
        <v>2084.333824666217</v>
      </c>
      <c r="AG11">
        <v>4</v>
      </c>
      <c r="AH11">
        <v>1</v>
      </c>
      <c r="AK11" s="25">
        <v>0.37285975296457691</v>
      </c>
      <c r="AL11" s="25">
        <v>7.1912003564749943E-2</v>
      </c>
      <c r="AM11" s="25">
        <v>5</v>
      </c>
      <c r="AN11">
        <v>0.98</v>
      </c>
      <c r="AO11">
        <v>0.16777777777777778</v>
      </c>
      <c r="AP11">
        <v>8</v>
      </c>
      <c r="AQ11">
        <v>0</v>
      </c>
      <c r="AR11">
        <v>0</v>
      </c>
      <c r="AS11">
        <v>0</v>
      </c>
      <c r="AT11" t="b">
        <v>0</v>
      </c>
      <c r="AU11" t="b">
        <v>0</v>
      </c>
      <c r="AV11">
        <v>2</v>
      </c>
      <c r="AW11" s="22" t="b">
        <v>0</v>
      </c>
      <c r="AX11" s="22" t="b">
        <v>0</v>
      </c>
      <c r="AY11" s="22">
        <v>410</v>
      </c>
      <c r="AZ11" s="22">
        <v>410</v>
      </c>
      <c r="BA11" s="30">
        <v>6600.0000000000018</v>
      </c>
      <c r="BB11" s="35">
        <v>2084.333824666217</v>
      </c>
      <c r="BC11" s="25"/>
      <c r="BD11" s="25">
        <v>43.265281842757958</v>
      </c>
      <c r="BE11" s="25"/>
    </row>
    <row r="12" spans="1:63" x14ac:dyDescent="0.25">
      <c r="A12" t="s">
        <v>234</v>
      </c>
      <c r="B12" t="s">
        <v>365</v>
      </c>
      <c r="C12">
        <v>8</v>
      </c>
      <c r="D12">
        <v>1</v>
      </c>
      <c r="E12" t="s">
        <v>34</v>
      </c>
      <c r="F12" t="s">
        <v>409</v>
      </c>
      <c r="G12">
        <v>1</v>
      </c>
      <c r="H12">
        <v>1</v>
      </c>
      <c r="I12" s="25">
        <v>5.780000000000002</v>
      </c>
      <c r="J12" t="s">
        <v>417</v>
      </c>
      <c r="K12">
        <v>15</v>
      </c>
      <c r="L12">
        <v>15</v>
      </c>
      <c r="M12">
        <v>1071.9999999999998</v>
      </c>
      <c r="N12" s="25">
        <v>0.61278787277622548</v>
      </c>
      <c r="O12" s="25">
        <v>7.6598484097028186E-2</v>
      </c>
      <c r="P12" s="25">
        <v>0.65846400000000005</v>
      </c>
      <c r="Q12" s="25">
        <v>8.2308000000000006E-2</v>
      </c>
      <c r="R12" s="25">
        <v>174.23840000000001</v>
      </c>
      <c r="S12" s="25">
        <v>21.779800000000002</v>
      </c>
      <c r="T12" s="22">
        <v>8</v>
      </c>
      <c r="U12" s="22">
        <v>0</v>
      </c>
      <c r="V12" s="11">
        <v>701.25400001992693</v>
      </c>
      <c r="W12" s="22">
        <v>1</v>
      </c>
      <c r="X12" s="22">
        <v>1</v>
      </c>
      <c r="Y12" s="22" t="s">
        <v>365</v>
      </c>
      <c r="AA12" t="s">
        <v>195</v>
      </c>
      <c r="AB12" s="22">
        <v>1</v>
      </c>
      <c r="AC12" t="s">
        <v>223</v>
      </c>
      <c r="AD12" t="s">
        <v>222</v>
      </c>
      <c r="AE12" s="25">
        <v>6600.0000000000018</v>
      </c>
      <c r="AF12" s="25">
        <v>2084.333824666217</v>
      </c>
      <c r="AG12">
        <v>4</v>
      </c>
      <c r="AH12">
        <v>1</v>
      </c>
      <c r="AK12" s="25">
        <v>0.37285975296457691</v>
      </c>
      <c r="AL12" s="25">
        <v>7.1912003564749943E-2</v>
      </c>
      <c r="AM12" s="25">
        <v>5</v>
      </c>
      <c r="AN12">
        <v>0.98</v>
      </c>
      <c r="AO12">
        <v>0.16777777777777778</v>
      </c>
      <c r="AP12">
        <v>8</v>
      </c>
      <c r="AQ12">
        <v>0</v>
      </c>
      <c r="AR12">
        <v>0</v>
      </c>
      <c r="AS12">
        <v>0</v>
      </c>
      <c r="AT12" t="b">
        <v>0</v>
      </c>
      <c r="AU12" t="b">
        <v>0</v>
      </c>
      <c r="AV12">
        <v>2</v>
      </c>
      <c r="AW12" s="22" t="b">
        <v>0</v>
      </c>
      <c r="AX12" s="22" t="b">
        <v>0</v>
      </c>
      <c r="AY12" s="22">
        <v>410</v>
      </c>
      <c r="AZ12" s="22">
        <v>410</v>
      </c>
      <c r="BA12" s="30">
        <v>6600.0000000000018</v>
      </c>
      <c r="BB12" s="35">
        <v>2084.333824666217</v>
      </c>
      <c r="BC12" s="25"/>
      <c r="BD12" s="25">
        <v>43.265281842757958</v>
      </c>
      <c r="BE12" s="25"/>
    </row>
    <row r="13" spans="1:63" x14ac:dyDescent="0.25">
      <c r="A13" t="s">
        <v>235</v>
      </c>
      <c r="B13" t="s">
        <v>365</v>
      </c>
      <c r="C13">
        <v>8</v>
      </c>
      <c r="D13">
        <v>1</v>
      </c>
      <c r="E13" t="s">
        <v>34</v>
      </c>
      <c r="F13" t="s">
        <v>409</v>
      </c>
      <c r="G13">
        <v>1</v>
      </c>
      <c r="H13">
        <v>1</v>
      </c>
      <c r="I13" s="25">
        <v>5.780000000000002</v>
      </c>
      <c r="J13" t="s">
        <v>417</v>
      </c>
      <c r="K13">
        <v>15</v>
      </c>
      <c r="L13">
        <v>15</v>
      </c>
      <c r="M13">
        <v>1071.9999999999998</v>
      </c>
      <c r="N13" s="25">
        <v>0.61278787277622548</v>
      </c>
      <c r="O13" s="25">
        <v>7.6598484097028186E-2</v>
      </c>
      <c r="P13" s="25">
        <v>0.65846400000000005</v>
      </c>
      <c r="Q13" s="25">
        <v>8.2308000000000006E-2</v>
      </c>
      <c r="R13" s="25">
        <v>174.23840000000001</v>
      </c>
      <c r="S13" s="25">
        <v>21.779800000000002</v>
      </c>
      <c r="T13" s="22">
        <v>8</v>
      </c>
      <c r="U13" s="22">
        <v>0</v>
      </c>
      <c r="V13" s="11">
        <v>701.25400001992693</v>
      </c>
      <c r="W13" s="22">
        <v>1</v>
      </c>
      <c r="X13" s="22">
        <v>1</v>
      </c>
      <c r="Y13" s="22" t="s">
        <v>365</v>
      </c>
      <c r="AA13" t="s">
        <v>195</v>
      </c>
      <c r="AB13" s="22">
        <v>1</v>
      </c>
      <c r="AC13" t="s">
        <v>223</v>
      </c>
      <c r="AD13" t="s">
        <v>222</v>
      </c>
      <c r="AE13" s="25">
        <v>6600.0000000000018</v>
      </c>
      <c r="AF13" s="25">
        <v>2084.333824666217</v>
      </c>
      <c r="AG13">
        <v>4</v>
      </c>
      <c r="AH13">
        <v>1</v>
      </c>
      <c r="AK13" s="25">
        <v>0.37285975296457691</v>
      </c>
      <c r="AL13" s="25">
        <v>7.1912003564749943E-2</v>
      </c>
      <c r="AM13" s="25">
        <v>5</v>
      </c>
      <c r="AN13">
        <v>0.98</v>
      </c>
      <c r="AO13">
        <v>0.16777777777777778</v>
      </c>
      <c r="AP13">
        <v>8</v>
      </c>
      <c r="AQ13">
        <v>0</v>
      </c>
      <c r="AR13">
        <v>0</v>
      </c>
      <c r="AS13">
        <v>0</v>
      </c>
      <c r="AT13" t="b">
        <v>0</v>
      </c>
      <c r="AU13" t="b">
        <v>0</v>
      </c>
      <c r="AV13">
        <v>2</v>
      </c>
      <c r="AW13" s="22" t="b">
        <v>0</v>
      </c>
      <c r="AX13" s="22" t="b">
        <v>0</v>
      </c>
      <c r="AY13" s="22">
        <v>410</v>
      </c>
      <c r="AZ13" s="22">
        <v>410</v>
      </c>
      <c r="BA13" s="30">
        <v>6600.0000000000018</v>
      </c>
      <c r="BB13" s="35">
        <v>2084.333824666217</v>
      </c>
      <c r="BC13" s="25"/>
      <c r="BD13" s="25">
        <v>43.265281842757958</v>
      </c>
      <c r="BE13" s="25"/>
    </row>
    <row r="14" spans="1:63" x14ac:dyDescent="0.25">
      <c r="A14" t="s">
        <v>236</v>
      </c>
      <c r="B14" t="s">
        <v>365</v>
      </c>
      <c r="C14">
        <v>8</v>
      </c>
      <c r="D14">
        <v>1</v>
      </c>
      <c r="E14" t="s">
        <v>34</v>
      </c>
      <c r="F14" t="s">
        <v>409</v>
      </c>
      <c r="G14">
        <v>1</v>
      </c>
      <c r="H14">
        <v>1</v>
      </c>
      <c r="I14" s="25">
        <v>5.780000000000002</v>
      </c>
      <c r="J14" t="s">
        <v>417</v>
      </c>
      <c r="K14">
        <v>15</v>
      </c>
      <c r="L14">
        <v>15</v>
      </c>
      <c r="M14">
        <v>1071.9999999999998</v>
      </c>
      <c r="N14" s="25">
        <v>0.61278787277622548</v>
      </c>
      <c r="O14" s="25">
        <v>7.6598484097028186E-2</v>
      </c>
      <c r="P14" s="25">
        <v>0.65846400000000005</v>
      </c>
      <c r="Q14" s="25">
        <v>8.2308000000000006E-2</v>
      </c>
      <c r="R14" s="25">
        <v>174.23840000000001</v>
      </c>
      <c r="S14" s="25">
        <v>21.779800000000002</v>
      </c>
      <c r="T14" s="22">
        <v>8</v>
      </c>
      <c r="U14" s="22">
        <v>0</v>
      </c>
      <c r="V14" s="11">
        <v>701.25400001992693</v>
      </c>
      <c r="W14" s="22">
        <v>1</v>
      </c>
      <c r="X14" s="22">
        <v>1</v>
      </c>
      <c r="Y14" s="22" t="s">
        <v>365</v>
      </c>
      <c r="AA14" t="s">
        <v>195</v>
      </c>
      <c r="AB14" s="22">
        <v>1</v>
      </c>
      <c r="AC14" t="s">
        <v>223</v>
      </c>
      <c r="AD14" t="s">
        <v>222</v>
      </c>
      <c r="AE14" s="25">
        <v>6600.0000000000018</v>
      </c>
      <c r="AF14" s="25">
        <v>2084.333824666217</v>
      </c>
      <c r="AG14">
        <v>4</v>
      </c>
      <c r="AH14">
        <v>1</v>
      </c>
      <c r="AK14" s="25">
        <v>0.37285975296457691</v>
      </c>
      <c r="AL14" s="25">
        <v>7.1912003564749943E-2</v>
      </c>
      <c r="AM14" s="25">
        <v>5</v>
      </c>
      <c r="AN14">
        <v>0.98</v>
      </c>
      <c r="AO14">
        <v>0.16777777777777778</v>
      </c>
      <c r="AP14">
        <v>8</v>
      </c>
      <c r="AQ14">
        <v>0</v>
      </c>
      <c r="AR14">
        <v>0</v>
      </c>
      <c r="AS14">
        <v>0</v>
      </c>
      <c r="AT14" t="b">
        <v>0</v>
      </c>
      <c r="AU14" t="b">
        <v>0</v>
      </c>
      <c r="AV14">
        <v>2</v>
      </c>
      <c r="AW14" s="22" t="b">
        <v>0</v>
      </c>
      <c r="AX14" s="22" t="b">
        <v>0</v>
      </c>
      <c r="AY14" s="22">
        <v>410</v>
      </c>
      <c r="AZ14" s="22">
        <v>410</v>
      </c>
      <c r="BA14" s="30">
        <v>6600.0000000000018</v>
      </c>
      <c r="BB14" s="35">
        <v>2084.333824666217</v>
      </c>
      <c r="BC14" s="25"/>
      <c r="BD14" s="25">
        <v>43.265281842757958</v>
      </c>
      <c r="BE14" s="25"/>
    </row>
    <row r="15" spans="1:63" x14ac:dyDescent="0.25">
      <c r="A15" t="s">
        <v>237</v>
      </c>
      <c r="B15" t="s">
        <v>365</v>
      </c>
      <c r="C15">
        <v>8</v>
      </c>
      <c r="D15">
        <v>1</v>
      </c>
      <c r="E15" t="s">
        <v>34</v>
      </c>
      <c r="F15" t="s">
        <v>409</v>
      </c>
      <c r="G15">
        <v>1</v>
      </c>
      <c r="H15">
        <v>1</v>
      </c>
      <c r="I15" s="25">
        <v>5.780000000000002</v>
      </c>
      <c r="J15" t="s">
        <v>417</v>
      </c>
      <c r="K15">
        <v>15</v>
      </c>
      <c r="L15">
        <v>15</v>
      </c>
      <c r="M15">
        <v>1071.9999999999998</v>
      </c>
      <c r="N15" s="25">
        <v>0.61278787277622548</v>
      </c>
      <c r="O15" s="25">
        <v>7.6598484097028186E-2</v>
      </c>
      <c r="P15" s="25">
        <v>0.65846400000000005</v>
      </c>
      <c r="Q15" s="25">
        <v>8.2308000000000006E-2</v>
      </c>
      <c r="R15" s="25">
        <v>174.23840000000001</v>
      </c>
      <c r="S15" s="25">
        <v>21.779800000000002</v>
      </c>
      <c r="T15" s="22">
        <v>8</v>
      </c>
      <c r="U15" s="22">
        <v>0</v>
      </c>
      <c r="V15" s="11">
        <v>701.25400001992693</v>
      </c>
      <c r="W15" s="22">
        <v>1</v>
      </c>
      <c r="X15" s="22">
        <v>1</v>
      </c>
      <c r="Y15" s="22" t="s">
        <v>365</v>
      </c>
      <c r="AA15" t="s">
        <v>195</v>
      </c>
      <c r="AB15" s="22">
        <v>1</v>
      </c>
      <c r="AC15" t="s">
        <v>223</v>
      </c>
      <c r="AD15" t="s">
        <v>222</v>
      </c>
      <c r="AE15" s="25">
        <v>6600.0000000000018</v>
      </c>
      <c r="AF15" s="25">
        <v>2084.333824666217</v>
      </c>
      <c r="AG15">
        <v>4</v>
      </c>
      <c r="AH15">
        <v>1</v>
      </c>
      <c r="AK15" s="25">
        <v>0.37285975296457691</v>
      </c>
      <c r="AL15" s="25">
        <v>7.1912003564749943E-2</v>
      </c>
      <c r="AM15" s="25">
        <v>5</v>
      </c>
      <c r="AN15">
        <v>0.98</v>
      </c>
      <c r="AO15">
        <v>0.16777777777777778</v>
      </c>
      <c r="AP15">
        <v>8</v>
      </c>
      <c r="AQ15">
        <v>0</v>
      </c>
      <c r="AR15">
        <v>0</v>
      </c>
      <c r="AS15">
        <v>0</v>
      </c>
      <c r="AT15" t="b">
        <v>0</v>
      </c>
      <c r="AU15" t="b">
        <v>0</v>
      </c>
      <c r="AV15">
        <v>2</v>
      </c>
      <c r="AW15" s="22" t="b">
        <v>0</v>
      </c>
      <c r="AX15" s="22" t="b">
        <v>0</v>
      </c>
      <c r="AY15" s="22">
        <v>410</v>
      </c>
      <c r="AZ15" s="22">
        <v>410</v>
      </c>
      <c r="BA15" s="30">
        <v>6600.0000000000018</v>
      </c>
      <c r="BB15" s="35">
        <v>2084.333824666217</v>
      </c>
      <c r="BC15" s="25"/>
      <c r="BD15" s="25">
        <v>43.265281842757958</v>
      </c>
      <c r="BE15" s="25"/>
    </row>
    <row r="16" spans="1:63" x14ac:dyDescent="0.25">
      <c r="A16" t="s">
        <v>238</v>
      </c>
      <c r="B16" t="s">
        <v>365</v>
      </c>
      <c r="C16">
        <v>8</v>
      </c>
      <c r="D16">
        <v>1</v>
      </c>
      <c r="E16" t="s">
        <v>34</v>
      </c>
      <c r="F16" t="s">
        <v>409</v>
      </c>
      <c r="G16">
        <v>1</v>
      </c>
      <c r="H16">
        <v>1</v>
      </c>
      <c r="I16" s="25">
        <v>5.780000000000002</v>
      </c>
      <c r="J16" t="s">
        <v>417</v>
      </c>
      <c r="K16">
        <v>15</v>
      </c>
      <c r="L16">
        <v>15</v>
      </c>
      <c r="M16">
        <v>1071.9999999999998</v>
      </c>
      <c r="N16" s="25">
        <v>0.61278787277622548</v>
      </c>
      <c r="O16" s="25">
        <v>7.6598484097028186E-2</v>
      </c>
      <c r="P16" s="25">
        <v>0.65846400000000005</v>
      </c>
      <c r="Q16" s="25">
        <v>8.2308000000000006E-2</v>
      </c>
      <c r="R16" s="25">
        <v>174.23840000000001</v>
      </c>
      <c r="S16" s="25">
        <v>21.779800000000002</v>
      </c>
      <c r="T16" s="22">
        <v>8</v>
      </c>
      <c r="U16" s="22">
        <v>0</v>
      </c>
      <c r="V16" s="11">
        <v>701.25400001992693</v>
      </c>
      <c r="W16" s="22">
        <v>1</v>
      </c>
      <c r="X16" s="22">
        <v>1</v>
      </c>
      <c r="Y16" s="22" t="s">
        <v>365</v>
      </c>
      <c r="AA16" t="s">
        <v>195</v>
      </c>
      <c r="AB16" s="22">
        <v>1</v>
      </c>
      <c r="AC16" t="s">
        <v>223</v>
      </c>
      <c r="AD16" t="s">
        <v>222</v>
      </c>
      <c r="AE16" s="25">
        <v>6600.0000000000018</v>
      </c>
      <c r="AF16" s="25">
        <v>2084.333824666217</v>
      </c>
      <c r="AG16">
        <v>4</v>
      </c>
      <c r="AH16">
        <v>1</v>
      </c>
      <c r="AK16" s="25">
        <v>0.37285975296457691</v>
      </c>
      <c r="AL16" s="25">
        <v>7.1912003564749943E-2</v>
      </c>
      <c r="AM16" s="25">
        <v>5</v>
      </c>
      <c r="AN16">
        <v>0.98</v>
      </c>
      <c r="AO16">
        <v>0.16777777777777778</v>
      </c>
      <c r="AP16">
        <v>8</v>
      </c>
      <c r="AQ16">
        <v>0</v>
      </c>
      <c r="AR16">
        <v>0</v>
      </c>
      <c r="AS16">
        <v>0</v>
      </c>
      <c r="AT16" t="b">
        <v>0</v>
      </c>
      <c r="AU16" t="b">
        <v>0</v>
      </c>
      <c r="AV16">
        <v>2</v>
      </c>
      <c r="AW16" s="22" t="b">
        <v>0</v>
      </c>
      <c r="AX16" s="22" t="b">
        <v>0</v>
      </c>
      <c r="AY16" s="22">
        <v>410</v>
      </c>
      <c r="AZ16" s="22">
        <v>410</v>
      </c>
      <c r="BA16" s="30">
        <v>6600.0000000000018</v>
      </c>
      <c r="BB16" s="35">
        <v>2084.333824666217</v>
      </c>
      <c r="BC16" s="25"/>
      <c r="BD16" s="25">
        <v>43.265281842757958</v>
      </c>
      <c r="BE16" s="25"/>
    </row>
    <row r="17" spans="1:57" x14ac:dyDescent="0.25">
      <c r="A17" t="s">
        <v>239</v>
      </c>
      <c r="B17" t="s">
        <v>365</v>
      </c>
      <c r="C17">
        <v>8</v>
      </c>
      <c r="D17">
        <v>1</v>
      </c>
      <c r="E17" t="s">
        <v>34</v>
      </c>
      <c r="F17" t="s">
        <v>409</v>
      </c>
      <c r="G17">
        <v>1</v>
      </c>
      <c r="H17">
        <v>1</v>
      </c>
      <c r="I17" s="25">
        <v>5.780000000000002</v>
      </c>
      <c r="J17" t="s">
        <v>417</v>
      </c>
      <c r="K17">
        <v>15</v>
      </c>
      <c r="L17">
        <v>15</v>
      </c>
      <c r="M17">
        <v>1071.9999999999998</v>
      </c>
      <c r="N17" s="25">
        <v>0.61278787277622548</v>
      </c>
      <c r="O17" s="25">
        <v>7.6598484097028186E-2</v>
      </c>
      <c r="P17" s="25">
        <v>0.65846400000000005</v>
      </c>
      <c r="Q17" s="25">
        <v>8.2308000000000006E-2</v>
      </c>
      <c r="R17" s="25">
        <v>174.23840000000001</v>
      </c>
      <c r="S17" s="25">
        <v>21.779800000000002</v>
      </c>
      <c r="T17" s="22">
        <v>8</v>
      </c>
      <c r="U17" s="22">
        <v>0</v>
      </c>
      <c r="V17" s="11">
        <v>701.25400001992693</v>
      </c>
      <c r="W17" s="22">
        <v>1</v>
      </c>
      <c r="X17" s="22">
        <v>1</v>
      </c>
      <c r="Y17" s="22" t="s">
        <v>365</v>
      </c>
      <c r="AA17" t="s">
        <v>195</v>
      </c>
      <c r="AB17" s="22">
        <v>1</v>
      </c>
      <c r="AC17" t="s">
        <v>223</v>
      </c>
      <c r="AD17" t="s">
        <v>222</v>
      </c>
      <c r="AE17" s="25">
        <v>6600.0000000000018</v>
      </c>
      <c r="AF17" s="25">
        <v>2084.333824666217</v>
      </c>
      <c r="AG17">
        <v>4</v>
      </c>
      <c r="AH17">
        <v>1</v>
      </c>
      <c r="AK17" s="25">
        <v>0.37285975296457691</v>
      </c>
      <c r="AL17" s="25">
        <v>7.1912003564749943E-2</v>
      </c>
      <c r="AM17" s="25">
        <v>5</v>
      </c>
      <c r="AN17">
        <v>0.98</v>
      </c>
      <c r="AO17">
        <v>0.16777777777777778</v>
      </c>
      <c r="AP17">
        <v>8</v>
      </c>
      <c r="AQ17">
        <v>0</v>
      </c>
      <c r="AR17">
        <v>0</v>
      </c>
      <c r="AS17">
        <v>0</v>
      </c>
      <c r="AT17" t="b">
        <v>0</v>
      </c>
      <c r="AU17" t="b">
        <v>0</v>
      </c>
      <c r="AV17">
        <v>2</v>
      </c>
      <c r="AW17" s="22" t="b">
        <v>0</v>
      </c>
      <c r="AX17" s="22" t="b">
        <v>0</v>
      </c>
      <c r="AY17" s="22">
        <v>410</v>
      </c>
      <c r="AZ17" s="22">
        <v>410</v>
      </c>
      <c r="BA17" s="30">
        <v>6600.0000000000018</v>
      </c>
      <c r="BB17" s="35">
        <v>2084.333824666217</v>
      </c>
      <c r="BC17" s="25"/>
      <c r="BD17" s="25">
        <v>43.265281842757958</v>
      </c>
      <c r="BE17" s="25"/>
    </row>
    <row r="18" spans="1:57" x14ac:dyDescent="0.25">
      <c r="A18" t="s">
        <v>240</v>
      </c>
      <c r="B18" t="s">
        <v>366</v>
      </c>
      <c r="C18">
        <v>7</v>
      </c>
      <c r="D18">
        <v>1</v>
      </c>
      <c r="E18" t="s">
        <v>34</v>
      </c>
      <c r="F18" t="s">
        <v>409</v>
      </c>
      <c r="G18">
        <v>1</v>
      </c>
      <c r="H18">
        <v>1</v>
      </c>
      <c r="I18" s="25">
        <v>7.3799999999999981</v>
      </c>
      <c r="J18">
        <v>22.5</v>
      </c>
      <c r="K18">
        <v>22.5</v>
      </c>
      <c r="L18">
        <v>22.5</v>
      </c>
      <c r="M18">
        <v>1105.6666666666667</v>
      </c>
      <c r="N18" s="25">
        <v>0.61878822511073739</v>
      </c>
      <c r="O18" s="25">
        <v>8.8398317872962484E-2</v>
      </c>
      <c r="P18" s="25">
        <v>0.65843337120181999</v>
      </c>
      <c r="Q18" s="25">
        <v>9.4061910171688565E-2</v>
      </c>
      <c r="R18" s="25">
        <v>142.61071999999996</v>
      </c>
      <c r="S18" s="25">
        <v>20.372959999999996</v>
      </c>
      <c r="T18" s="22">
        <v>8</v>
      </c>
      <c r="U18" s="22">
        <v>0</v>
      </c>
      <c r="V18" s="11">
        <v>755.5491628140245</v>
      </c>
      <c r="W18" s="22">
        <v>1</v>
      </c>
      <c r="X18" s="22">
        <v>1</v>
      </c>
      <c r="Y18" s="22" t="s">
        <v>366</v>
      </c>
      <c r="AA18" t="s">
        <v>196</v>
      </c>
      <c r="AB18" s="22">
        <v>1</v>
      </c>
      <c r="AC18" t="s">
        <v>223</v>
      </c>
      <c r="AD18" t="s">
        <v>222</v>
      </c>
      <c r="AE18" s="25">
        <v>8199.9999999999982</v>
      </c>
      <c r="AF18" s="25">
        <v>1818.4211399611086</v>
      </c>
      <c r="AG18">
        <v>2</v>
      </c>
      <c r="AH18">
        <v>2</v>
      </c>
      <c r="AK18" s="25">
        <v>0.40403061397123519</v>
      </c>
      <c r="AL18" s="25">
        <v>8.3507273032599166E-2</v>
      </c>
      <c r="AM18" s="25">
        <v>5</v>
      </c>
      <c r="AN18">
        <v>1.54</v>
      </c>
      <c r="AO18">
        <v>0.1738888888888889</v>
      </c>
      <c r="AP18">
        <v>8</v>
      </c>
      <c r="AQ18">
        <v>0</v>
      </c>
      <c r="AR18">
        <v>0</v>
      </c>
      <c r="AS18">
        <v>0</v>
      </c>
      <c r="AT18" t="b">
        <v>0</v>
      </c>
      <c r="AU18" t="b">
        <v>0</v>
      </c>
      <c r="AV18">
        <v>2</v>
      </c>
      <c r="AW18" s="22" t="b">
        <v>0</v>
      </c>
      <c r="AX18" s="22" t="b">
        <v>0</v>
      </c>
      <c r="AY18" s="22">
        <v>410</v>
      </c>
      <c r="AZ18" s="22">
        <v>410</v>
      </c>
      <c r="BA18" s="30">
        <v>8199.9999999999982</v>
      </c>
      <c r="BB18" s="35">
        <v>1818.4211399611086</v>
      </c>
      <c r="BC18" s="25"/>
      <c r="BD18" s="25">
        <v>50.563054547677815</v>
      </c>
      <c r="BE18" s="25"/>
    </row>
    <row r="19" spans="1:57" x14ac:dyDescent="0.25">
      <c r="A19" t="s">
        <v>241</v>
      </c>
      <c r="B19" t="s">
        <v>366</v>
      </c>
      <c r="C19">
        <v>7</v>
      </c>
      <c r="D19">
        <v>1</v>
      </c>
      <c r="E19" t="s">
        <v>34</v>
      </c>
      <c r="F19" t="s">
        <v>409</v>
      </c>
      <c r="G19">
        <v>1</v>
      </c>
      <c r="H19">
        <v>1</v>
      </c>
      <c r="I19" s="25">
        <v>7.3799999999999981</v>
      </c>
      <c r="J19">
        <v>22.5</v>
      </c>
      <c r="K19">
        <v>22.5</v>
      </c>
      <c r="L19">
        <v>22.5</v>
      </c>
      <c r="M19">
        <v>1105.6666666666667</v>
      </c>
      <c r="N19" s="25">
        <v>0.61878822511073739</v>
      </c>
      <c r="O19" s="25">
        <v>8.8398317872962484E-2</v>
      </c>
      <c r="P19" s="25">
        <v>0.65843337120181999</v>
      </c>
      <c r="Q19" s="25">
        <v>9.4061910171688565E-2</v>
      </c>
      <c r="R19" s="25">
        <v>142.61071999999996</v>
      </c>
      <c r="S19" s="25">
        <v>20.372959999999996</v>
      </c>
      <c r="T19" s="22">
        <v>8</v>
      </c>
      <c r="U19" s="22">
        <v>0</v>
      </c>
      <c r="V19" s="11">
        <v>755.5491628140245</v>
      </c>
      <c r="W19" s="22">
        <v>1</v>
      </c>
      <c r="X19" s="22">
        <v>1</v>
      </c>
      <c r="Y19" s="22" t="s">
        <v>366</v>
      </c>
      <c r="AA19" t="s">
        <v>196</v>
      </c>
      <c r="AB19" s="22">
        <v>1</v>
      </c>
      <c r="AC19" t="s">
        <v>223</v>
      </c>
      <c r="AD19" t="s">
        <v>222</v>
      </c>
      <c r="AE19" s="25">
        <v>8199.9999999999982</v>
      </c>
      <c r="AF19" s="25">
        <v>1818.4211399611086</v>
      </c>
      <c r="AG19">
        <v>2</v>
      </c>
      <c r="AH19">
        <v>2</v>
      </c>
      <c r="AK19" s="25">
        <v>0.40403061397123519</v>
      </c>
      <c r="AL19" s="25">
        <v>8.3507273032599166E-2</v>
      </c>
      <c r="AM19" s="25">
        <v>5</v>
      </c>
      <c r="AN19">
        <v>1.54</v>
      </c>
      <c r="AO19">
        <v>0.1738888888888889</v>
      </c>
      <c r="AP19">
        <v>8</v>
      </c>
      <c r="AQ19">
        <v>0</v>
      </c>
      <c r="AR19">
        <v>0</v>
      </c>
      <c r="AS19">
        <v>0</v>
      </c>
      <c r="AT19" t="b">
        <v>0</v>
      </c>
      <c r="AU19" t="b">
        <v>0</v>
      </c>
      <c r="AV19">
        <v>2</v>
      </c>
      <c r="AW19" s="22" t="b">
        <v>0</v>
      </c>
      <c r="AX19" s="22" t="b">
        <v>0</v>
      </c>
      <c r="AY19" s="22">
        <v>410</v>
      </c>
      <c r="AZ19" s="22">
        <v>410</v>
      </c>
      <c r="BA19" s="30">
        <v>8199.9999999999982</v>
      </c>
      <c r="BB19" s="35">
        <v>1818.4211399611086</v>
      </c>
      <c r="BC19" s="25"/>
      <c r="BD19" s="25">
        <v>50.563054547677815</v>
      </c>
      <c r="BE19" s="25"/>
    </row>
    <row r="20" spans="1:57" x14ac:dyDescent="0.25">
      <c r="A20" t="s">
        <v>242</v>
      </c>
      <c r="B20" t="s">
        <v>366</v>
      </c>
      <c r="C20">
        <v>7</v>
      </c>
      <c r="D20">
        <v>1</v>
      </c>
      <c r="E20" t="s">
        <v>34</v>
      </c>
      <c r="F20" t="s">
        <v>409</v>
      </c>
      <c r="G20">
        <v>1</v>
      </c>
      <c r="H20">
        <v>1</v>
      </c>
      <c r="I20" s="25">
        <v>7.3799999999999981</v>
      </c>
      <c r="J20">
        <v>22.5</v>
      </c>
      <c r="K20">
        <v>22.5</v>
      </c>
      <c r="L20">
        <v>22.5</v>
      </c>
      <c r="M20">
        <v>1105.6666666666667</v>
      </c>
      <c r="N20" s="25">
        <v>0.61878822511073739</v>
      </c>
      <c r="O20" s="25">
        <v>8.8398317872962484E-2</v>
      </c>
      <c r="P20" s="25">
        <v>0.65843337120181999</v>
      </c>
      <c r="Q20" s="25">
        <v>9.4061910171688565E-2</v>
      </c>
      <c r="R20" s="25">
        <v>142.61071999999996</v>
      </c>
      <c r="S20" s="25">
        <v>20.372959999999996</v>
      </c>
      <c r="T20" s="22">
        <v>8</v>
      </c>
      <c r="U20" s="22">
        <v>0</v>
      </c>
      <c r="V20" s="11">
        <v>755.5491628140245</v>
      </c>
      <c r="W20" s="22">
        <v>1</v>
      </c>
      <c r="X20" s="22">
        <v>1</v>
      </c>
      <c r="Y20" s="22" t="s">
        <v>366</v>
      </c>
      <c r="AA20" t="s">
        <v>196</v>
      </c>
      <c r="AB20" s="22">
        <v>1</v>
      </c>
      <c r="AC20" t="s">
        <v>223</v>
      </c>
      <c r="AD20" t="s">
        <v>222</v>
      </c>
      <c r="AE20" s="25">
        <v>8199.9999999999982</v>
      </c>
      <c r="AF20" s="25">
        <v>1818.4211399611086</v>
      </c>
      <c r="AG20">
        <v>2</v>
      </c>
      <c r="AH20">
        <v>2</v>
      </c>
      <c r="AK20" s="25">
        <v>0.40403061397123519</v>
      </c>
      <c r="AL20" s="25">
        <v>8.3507273032599166E-2</v>
      </c>
      <c r="AM20" s="25">
        <v>5</v>
      </c>
      <c r="AN20">
        <v>1.54</v>
      </c>
      <c r="AO20">
        <v>0.1738888888888889</v>
      </c>
      <c r="AP20">
        <v>8</v>
      </c>
      <c r="AQ20">
        <v>0</v>
      </c>
      <c r="AR20">
        <v>0</v>
      </c>
      <c r="AS20">
        <v>0</v>
      </c>
      <c r="AT20" t="b">
        <v>0</v>
      </c>
      <c r="AU20" t="b">
        <v>0</v>
      </c>
      <c r="AV20">
        <v>2</v>
      </c>
      <c r="AW20" s="22" t="b">
        <v>0</v>
      </c>
      <c r="AX20" s="22" t="b">
        <v>0</v>
      </c>
      <c r="AY20" s="22">
        <v>410</v>
      </c>
      <c r="AZ20" s="22">
        <v>410</v>
      </c>
      <c r="BA20" s="30">
        <v>8199.9999999999982</v>
      </c>
      <c r="BB20" s="35">
        <v>1818.4211399611086</v>
      </c>
      <c r="BC20" s="25"/>
      <c r="BD20" s="25">
        <v>50.563054547677815</v>
      </c>
      <c r="BE20" s="25"/>
    </row>
    <row r="21" spans="1:57" x14ac:dyDescent="0.25">
      <c r="A21" t="s">
        <v>243</v>
      </c>
      <c r="B21" t="s">
        <v>366</v>
      </c>
      <c r="C21">
        <v>7</v>
      </c>
      <c r="D21">
        <v>1</v>
      </c>
      <c r="E21" t="s">
        <v>34</v>
      </c>
      <c r="F21" t="s">
        <v>409</v>
      </c>
      <c r="G21">
        <v>1</v>
      </c>
      <c r="H21">
        <v>1</v>
      </c>
      <c r="I21" s="25">
        <v>7.3799999999999981</v>
      </c>
      <c r="J21">
        <v>22.5</v>
      </c>
      <c r="K21">
        <v>22.5</v>
      </c>
      <c r="L21">
        <v>22.5</v>
      </c>
      <c r="M21">
        <v>1105.6666666666667</v>
      </c>
      <c r="N21" s="25">
        <v>0.61878822511073739</v>
      </c>
      <c r="O21" s="25">
        <v>8.8398317872962484E-2</v>
      </c>
      <c r="P21" s="25">
        <v>0.65843337120181999</v>
      </c>
      <c r="Q21" s="25">
        <v>9.4061910171688565E-2</v>
      </c>
      <c r="R21" s="25">
        <v>142.61071999999996</v>
      </c>
      <c r="S21" s="25">
        <v>20.372959999999996</v>
      </c>
      <c r="T21" s="22">
        <v>8</v>
      </c>
      <c r="U21" s="22">
        <v>0</v>
      </c>
      <c r="V21" s="11">
        <v>755.5491628140245</v>
      </c>
      <c r="W21" s="22">
        <v>1</v>
      </c>
      <c r="X21" s="22">
        <v>1</v>
      </c>
      <c r="Y21" s="22" t="s">
        <v>366</v>
      </c>
      <c r="AA21" t="s">
        <v>196</v>
      </c>
      <c r="AB21" s="22">
        <v>1</v>
      </c>
      <c r="AC21" t="s">
        <v>223</v>
      </c>
      <c r="AD21" t="s">
        <v>222</v>
      </c>
      <c r="AE21" s="25">
        <v>8199.9999999999982</v>
      </c>
      <c r="AF21" s="25">
        <v>1818.4211399611086</v>
      </c>
      <c r="AG21">
        <v>2</v>
      </c>
      <c r="AH21">
        <v>2</v>
      </c>
      <c r="AK21" s="25">
        <v>0.40403061397123519</v>
      </c>
      <c r="AL21" s="25">
        <v>8.3507273032599166E-2</v>
      </c>
      <c r="AM21" s="25">
        <v>5</v>
      </c>
      <c r="AN21">
        <v>1.54</v>
      </c>
      <c r="AO21">
        <v>0.1738888888888889</v>
      </c>
      <c r="AP21">
        <v>8</v>
      </c>
      <c r="AQ21">
        <v>0</v>
      </c>
      <c r="AR21">
        <v>0</v>
      </c>
      <c r="AS21">
        <v>0</v>
      </c>
      <c r="AT21" t="b">
        <v>0</v>
      </c>
      <c r="AU21" t="b">
        <v>0</v>
      </c>
      <c r="AV21">
        <v>2</v>
      </c>
      <c r="AW21" s="22" t="b">
        <v>0</v>
      </c>
      <c r="AX21" s="22" t="b">
        <v>0</v>
      </c>
      <c r="AY21" s="22">
        <v>410</v>
      </c>
      <c r="AZ21" s="22">
        <v>410</v>
      </c>
      <c r="BA21" s="30">
        <v>8199.9999999999982</v>
      </c>
      <c r="BB21" s="35">
        <v>1818.4211399611086</v>
      </c>
      <c r="BC21" s="25"/>
      <c r="BD21" s="25">
        <v>50.563054547677815</v>
      </c>
      <c r="BE21" s="25"/>
    </row>
    <row r="22" spans="1:57" x14ac:dyDescent="0.25">
      <c r="A22" t="s">
        <v>244</v>
      </c>
      <c r="B22" t="s">
        <v>366</v>
      </c>
      <c r="C22">
        <v>7</v>
      </c>
      <c r="D22">
        <v>1</v>
      </c>
      <c r="E22" t="s">
        <v>34</v>
      </c>
      <c r="F22" t="s">
        <v>409</v>
      </c>
      <c r="G22">
        <v>1</v>
      </c>
      <c r="H22">
        <v>1</v>
      </c>
      <c r="I22" s="25">
        <v>7.3799999999999981</v>
      </c>
      <c r="J22">
        <v>22.5</v>
      </c>
      <c r="K22">
        <v>22.5</v>
      </c>
      <c r="L22">
        <v>22.5</v>
      </c>
      <c r="M22">
        <v>1105.6666666666667</v>
      </c>
      <c r="N22" s="25">
        <v>0.61878822511073739</v>
      </c>
      <c r="O22" s="25">
        <v>8.8398317872962484E-2</v>
      </c>
      <c r="P22" s="25">
        <v>0.65843337120181999</v>
      </c>
      <c r="Q22" s="25">
        <v>9.4061910171688565E-2</v>
      </c>
      <c r="R22" s="25">
        <v>142.61071999999996</v>
      </c>
      <c r="S22" s="25">
        <v>20.372959999999996</v>
      </c>
      <c r="T22" s="22">
        <v>8</v>
      </c>
      <c r="U22" s="22">
        <v>0</v>
      </c>
      <c r="V22" s="11">
        <v>755.5491628140245</v>
      </c>
      <c r="W22" s="22">
        <v>1</v>
      </c>
      <c r="X22" s="22">
        <v>1</v>
      </c>
      <c r="Y22" s="22" t="s">
        <v>366</v>
      </c>
      <c r="AA22" t="s">
        <v>196</v>
      </c>
      <c r="AB22" s="22">
        <v>1</v>
      </c>
      <c r="AC22" t="s">
        <v>223</v>
      </c>
      <c r="AD22" t="s">
        <v>222</v>
      </c>
      <c r="AE22" s="25">
        <v>8199.9999999999982</v>
      </c>
      <c r="AF22" s="25">
        <v>1818.4211399611086</v>
      </c>
      <c r="AG22">
        <v>2</v>
      </c>
      <c r="AH22">
        <v>2</v>
      </c>
      <c r="AK22" s="25">
        <v>0.40403061397123519</v>
      </c>
      <c r="AL22" s="25">
        <v>8.3507273032599166E-2</v>
      </c>
      <c r="AM22" s="25">
        <v>5</v>
      </c>
      <c r="AN22">
        <v>1.54</v>
      </c>
      <c r="AO22">
        <v>0.1738888888888889</v>
      </c>
      <c r="AP22">
        <v>8</v>
      </c>
      <c r="AQ22">
        <v>0</v>
      </c>
      <c r="AR22">
        <v>0</v>
      </c>
      <c r="AS22">
        <v>0</v>
      </c>
      <c r="AT22" t="b">
        <v>0</v>
      </c>
      <c r="AU22" t="b">
        <v>0</v>
      </c>
      <c r="AV22">
        <v>2</v>
      </c>
      <c r="AW22" s="22" t="b">
        <v>0</v>
      </c>
      <c r="AX22" s="22" t="b">
        <v>0</v>
      </c>
      <c r="AY22" s="22">
        <v>409.99999999999636</v>
      </c>
      <c r="AZ22" s="22">
        <v>410</v>
      </c>
      <c r="BA22" s="30">
        <v>8199.9999999999982</v>
      </c>
      <c r="BB22" s="35">
        <v>1818.4211399611086</v>
      </c>
      <c r="BC22" s="25"/>
      <c r="BD22" s="25">
        <v>50.563054547677815</v>
      </c>
      <c r="BE22" s="25"/>
    </row>
    <row r="23" spans="1:57" x14ac:dyDescent="0.25">
      <c r="A23" t="s">
        <v>245</v>
      </c>
      <c r="B23" t="s">
        <v>366</v>
      </c>
      <c r="C23">
        <v>7</v>
      </c>
      <c r="D23">
        <v>1</v>
      </c>
      <c r="E23" t="s">
        <v>34</v>
      </c>
      <c r="F23" t="s">
        <v>409</v>
      </c>
      <c r="G23">
        <v>1</v>
      </c>
      <c r="H23">
        <v>1</v>
      </c>
      <c r="I23" s="25">
        <v>7.3799999999999981</v>
      </c>
      <c r="J23">
        <v>22.5</v>
      </c>
      <c r="K23">
        <v>22.5</v>
      </c>
      <c r="L23">
        <v>22.5</v>
      </c>
      <c r="M23">
        <v>1105.6666666666667</v>
      </c>
      <c r="N23" s="25">
        <v>0.61878822511073739</v>
      </c>
      <c r="O23" s="25">
        <v>8.8398317872962484E-2</v>
      </c>
      <c r="P23" s="25">
        <v>0.65843337120181999</v>
      </c>
      <c r="Q23" s="25">
        <v>9.4061910171688565E-2</v>
      </c>
      <c r="R23" s="25">
        <v>142.61071999999996</v>
      </c>
      <c r="S23" s="25">
        <v>20.372959999999996</v>
      </c>
      <c r="T23" s="22">
        <v>8</v>
      </c>
      <c r="U23" s="22">
        <v>0</v>
      </c>
      <c r="V23" s="11">
        <v>755.5491628140245</v>
      </c>
      <c r="W23" s="22">
        <v>1</v>
      </c>
      <c r="X23" s="22">
        <v>1</v>
      </c>
      <c r="Y23" s="22" t="s">
        <v>366</v>
      </c>
      <c r="AA23" t="s">
        <v>196</v>
      </c>
      <c r="AB23" s="22">
        <v>1</v>
      </c>
      <c r="AC23" t="s">
        <v>223</v>
      </c>
      <c r="AD23" t="s">
        <v>222</v>
      </c>
      <c r="AE23" s="25">
        <v>8199.9999999999982</v>
      </c>
      <c r="AF23" s="25">
        <v>1818.4211399611086</v>
      </c>
      <c r="AG23">
        <v>2</v>
      </c>
      <c r="AH23">
        <v>2</v>
      </c>
      <c r="AK23" s="25">
        <v>0.40403061397123519</v>
      </c>
      <c r="AL23" s="25">
        <v>8.3507273032599166E-2</v>
      </c>
      <c r="AM23" s="25">
        <v>5</v>
      </c>
      <c r="AN23">
        <v>1.54</v>
      </c>
      <c r="AO23">
        <v>0.1738888888888889</v>
      </c>
      <c r="AP23">
        <v>8</v>
      </c>
      <c r="AQ23">
        <v>0</v>
      </c>
      <c r="AR23">
        <v>0</v>
      </c>
      <c r="AS23">
        <v>0</v>
      </c>
      <c r="AT23" t="b">
        <v>0</v>
      </c>
      <c r="AU23" t="b">
        <v>0</v>
      </c>
      <c r="AV23">
        <v>2</v>
      </c>
      <c r="AW23" s="22" t="b">
        <v>0</v>
      </c>
      <c r="AX23" s="22" t="b">
        <v>0</v>
      </c>
      <c r="AY23" s="22">
        <v>409.99999999999636</v>
      </c>
      <c r="AZ23" s="22">
        <v>410</v>
      </c>
      <c r="BA23" s="30">
        <v>8199.9999999999982</v>
      </c>
      <c r="BB23" s="35">
        <v>1818.4211399611086</v>
      </c>
      <c r="BC23" s="25"/>
      <c r="BD23" s="25">
        <v>50.563054547677815</v>
      </c>
      <c r="BE23" s="25"/>
    </row>
    <row r="24" spans="1:57" x14ac:dyDescent="0.25">
      <c r="A24" t="s">
        <v>246</v>
      </c>
      <c r="B24" t="s">
        <v>366</v>
      </c>
      <c r="C24">
        <v>7</v>
      </c>
      <c r="D24">
        <v>1</v>
      </c>
      <c r="E24" t="s">
        <v>34</v>
      </c>
      <c r="F24" t="s">
        <v>409</v>
      </c>
      <c r="G24">
        <v>1</v>
      </c>
      <c r="H24">
        <v>1</v>
      </c>
      <c r="I24" s="25">
        <v>7.3799999999999981</v>
      </c>
      <c r="J24">
        <v>22.5</v>
      </c>
      <c r="K24">
        <v>22.5</v>
      </c>
      <c r="L24">
        <v>22.5</v>
      </c>
      <c r="M24">
        <v>1105.6666666666667</v>
      </c>
      <c r="N24" s="25">
        <v>0.61878822511073739</v>
      </c>
      <c r="O24" s="25">
        <v>8.8398317872962484E-2</v>
      </c>
      <c r="P24" s="25">
        <v>0.65843337120181999</v>
      </c>
      <c r="Q24" s="25">
        <v>9.4061910171688565E-2</v>
      </c>
      <c r="R24" s="25">
        <v>142.61071999999996</v>
      </c>
      <c r="S24" s="25">
        <v>20.372959999999996</v>
      </c>
      <c r="T24" s="22">
        <v>8</v>
      </c>
      <c r="U24" s="22">
        <v>0</v>
      </c>
      <c r="V24" s="11">
        <v>755.5491628140245</v>
      </c>
      <c r="W24" s="22">
        <v>1</v>
      </c>
      <c r="X24" s="22">
        <v>1</v>
      </c>
      <c r="Y24" s="22" t="s">
        <v>366</v>
      </c>
      <c r="AA24" t="s">
        <v>196</v>
      </c>
      <c r="AB24" s="22">
        <v>1</v>
      </c>
      <c r="AC24" t="s">
        <v>223</v>
      </c>
      <c r="AD24" t="s">
        <v>222</v>
      </c>
      <c r="AE24" s="25">
        <v>8199.9999999999982</v>
      </c>
      <c r="AF24" s="25">
        <v>1818.4211399611086</v>
      </c>
      <c r="AG24">
        <v>2</v>
      </c>
      <c r="AH24">
        <v>2</v>
      </c>
      <c r="AK24" s="25">
        <v>0.40403061397123519</v>
      </c>
      <c r="AL24" s="25">
        <v>8.3507273032599166E-2</v>
      </c>
      <c r="AM24" s="25">
        <v>5</v>
      </c>
      <c r="AN24">
        <v>1.54</v>
      </c>
      <c r="AO24">
        <v>0.1738888888888889</v>
      </c>
      <c r="AP24">
        <v>8</v>
      </c>
      <c r="AQ24">
        <v>0</v>
      </c>
      <c r="AR24">
        <v>0</v>
      </c>
      <c r="AS24">
        <v>0</v>
      </c>
      <c r="AT24" t="b">
        <v>0</v>
      </c>
      <c r="AU24" t="b">
        <v>0</v>
      </c>
      <c r="AV24">
        <v>2</v>
      </c>
      <c r="AW24" s="22" t="b">
        <v>0</v>
      </c>
      <c r="AX24" s="22" t="b">
        <v>0</v>
      </c>
      <c r="AY24" s="22">
        <v>409.99999999999636</v>
      </c>
      <c r="AZ24" s="22">
        <v>410</v>
      </c>
      <c r="BA24" s="30">
        <v>8199.9999999999982</v>
      </c>
      <c r="BB24" s="35">
        <v>1818.4211399611086</v>
      </c>
      <c r="BC24" s="25"/>
      <c r="BD24" s="25">
        <v>50.563054547677815</v>
      </c>
      <c r="BE24" s="25"/>
    </row>
    <row r="25" spans="1:57" x14ac:dyDescent="0.25">
      <c r="A25" t="s">
        <v>247</v>
      </c>
      <c r="B25" t="s">
        <v>367</v>
      </c>
      <c r="C25">
        <v>6</v>
      </c>
      <c r="D25">
        <v>1</v>
      </c>
      <c r="E25" t="s">
        <v>34</v>
      </c>
      <c r="F25" t="s">
        <v>409</v>
      </c>
      <c r="G25">
        <v>1</v>
      </c>
      <c r="H25">
        <v>1</v>
      </c>
      <c r="I25" s="25">
        <v>6.3800000000000008</v>
      </c>
      <c r="J25">
        <v>25.999999999999986</v>
      </c>
      <c r="K25">
        <v>26</v>
      </c>
      <c r="L25">
        <v>26</v>
      </c>
      <c r="M25">
        <v>1026.8</v>
      </c>
      <c r="N25" s="25">
        <v>0.46493250439740558</v>
      </c>
      <c r="O25" s="25">
        <v>7.748875073290093E-2</v>
      </c>
      <c r="P25" s="25">
        <v>0.47825279999999998</v>
      </c>
      <c r="Q25" s="25">
        <v>7.9708799999999996E-2</v>
      </c>
      <c r="R25" s="25">
        <v>71.103359999999995</v>
      </c>
      <c r="S25" s="25">
        <v>11.85056</v>
      </c>
      <c r="T25" s="22">
        <v>6</v>
      </c>
      <c r="U25" s="22">
        <v>0</v>
      </c>
      <c r="V25" s="11">
        <v>616.44840671097393</v>
      </c>
      <c r="W25" s="22">
        <v>1</v>
      </c>
      <c r="X25" s="22">
        <v>1</v>
      </c>
      <c r="Y25" s="22" t="s">
        <v>367</v>
      </c>
      <c r="AA25" t="s">
        <v>197</v>
      </c>
      <c r="AB25" s="22">
        <v>1</v>
      </c>
      <c r="AC25" t="s">
        <v>223</v>
      </c>
      <c r="AD25" t="s">
        <v>222</v>
      </c>
      <c r="AE25" s="25">
        <v>7200.0000000000009</v>
      </c>
      <c r="AF25" s="25">
        <v>1879.336134230718</v>
      </c>
      <c r="AG25">
        <v>2</v>
      </c>
      <c r="AH25">
        <v>1</v>
      </c>
      <c r="AK25" s="25">
        <v>0.32900000000000001</v>
      </c>
      <c r="AL25" s="25">
        <v>6.3941899128652321E-2</v>
      </c>
      <c r="AM25" s="25">
        <v>4</v>
      </c>
      <c r="AN25">
        <v>0.94</v>
      </c>
      <c r="AO25">
        <v>0.12388888888888888</v>
      </c>
      <c r="AP25">
        <v>6</v>
      </c>
      <c r="AQ25">
        <v>0</v>
      </c>
      <c r="AR25">
        <v>0</v>
      </c>
      <c r="AS25">
        <v>0</v>
      </c>
      <c r="AT25" t="b">
        <v>0</v>
      </c>
      <c r="AU25" t="b">
        <v>0</v>
      </c>
      <c r="AV25">
        <v>2</v>
      </c>
      <c r="AW25" s="22" t="b">
        <v>0</v>
      </c>
      <c r="AX25" s="22" t="b">
        <v>0</v>
      </c>
      <c r="AY25" s="22">
        <v>410</v>
      </c>
      <c r="AZ25" s="22">
        <v>410</v>
      </c>
      <c r="BA25" s="30">
        <v>7200.0000000000009</v>
      </c>
      <c r="BB25" s="35">
        <v>1879.336134230718</v>
      </c>
      <c r="BC25" s="25"/>
      <c r="BD25" s="25">
        <v>43.819112007057377</v>
      </c>
      <c r="BE25" s="25"/>
    </row>
    <row r="26" spans="1:57" x14ac:dyDescent="0.25">
      <c r="A26" t="s">
        <v>248</v>
      </c>
      <c r="B26" t="s">
        <v>367</v>
      </c>
      <c r="C26">
        <v>6</v>
      </c>
      <c r="D26">
        <v>1</v>
      </c>
      <c r="E26" t="s">
        <v>34</v>
      </c>
      <c r="F26" t="s">
        <v>409</v>
      </c>
      <c r="G26">
        <v>1</v>
      </c>
      <c r="H26">
        <v>1</v>
      </c>
      <c r="I26" s="25">
        <v>6.3800000000000008</v>
      </c>
      <c r="J26">
        <v>25.999999999999986</v>
      </c>
      <c r="K26">
        <v>26</v>
      </c>
      <c r="L26">
        <v>26</v>
      </c>
      <c r="M26">
        <v>1026.8</v>
      </c>
      <c r="N26" s="25">
        <v>0.46493250439740558</v>
      </c>
      <c r="O26" s="25">
        <v>7.748875073290093E-2</v>
      </c>
      <c r="P26" s="25">
        <v>0.47825279999999998</v>
      </c>
      <c r="Q26" s="25">
        <v>7.9708799999999996E-2</v>
      </c>
      <c r="R26" s="25">
        <v>71.103359999999995</v>
      </c>
      <c r="S26" s="25">
        <v>11.85056</v>
      </c>
      <c r="T26" s="22">
        <v>6</v>
      </c>
      <c r="U26" s="22">
        <v>0</v>
      </c>
      <c r="V26" s="11">
        <v>616.44840671097393</v>
      </c>
      <c r="W26" s="22">
        <v>1</v>
      </c>
      <c r="X26" s="22">
        <v>1</v>
      </c>
      <c r="Y26" s="22" t="s">
        <v>367</v>
      </c>
      <c r="AA26" t="s">
        <v>197</v>
      </c>
      <c r="AB26" s="22">
        <v>1</v>
      </c>
      <c r="AC26" t="s">
        <v>223</v>
      </c>
      <c r="AD26" t="s">
        <v>222</v>
      </c>
      <c r="AE26" s="25">
        <v>7200.0000000000009</v>
      </c>
      <c r="AF26" s="25">
        <v>1879.336134230718</v>
      </c>
      <c r="AG26">
        <v>2</v>
      </c>
      <c r="AH26">
        <v>1</v>
      </c>
      <c r="AK26" s="25">
        <v>0.32900000000000001</v>
      </c>
      <c r="AL26" s="25">
        <v>6.3941899128652321E-2</v>
      </c>
      <c r="AM26" s="25">
        <v>4</v>
      </c>
      <c r="AN26">
        <v>0.94</v>
      </c>
      <c r="AO26">
        <v>0.12388888888888888</v>
      </c>
      <c r="AP26">
        <v>6</v>
      </c>
      <c r="AQ26">
        <v>0</v>
      </c>
      <c r="AR26">
        <v>0</v>
      </c>
      <c r="AS26">
        <v>0</v>
      </c>
      <c r="AT26" t="b">
        <v>0</v>
      </c>
      <c r="AU26" t="b">
        <v>0</v>
      </c>
      <c r="AV26">
        <v>2</v>
      </c>
      <c r="AW26" s="22" t="b">
        <v>0</v>
      </c>
      <c r="AX26" s="22" t="b">
        <v>0</v>
      </c>
      <c r="AY26" s="22">
        <v>410</v>
      </c>
      <c r="AZ26" s="22">
        <v>409.99999999999909</v>
      </c>
      <c r="BA26" s="30">
        <v>7200.0000000000009</v>
      </c>
      <c r="BB26" s="35">
        <v>1879.336134230718</v>
      </c>
      <c r="BC26" s="25"/>
      <c r="BD26" s="25">
        <v>43.819112007057377</v>
      </c>
      <c r="BE26" s="25"/>
    </row>
    <row r="27" spans="1:57" x14ac:dyDescent="0.25">
      <c r="A27" t="s">
        <v>249</v>
      </c>
      <c r="B27" t="s">
        <v>367</v>
      </c>
      <c r="C27">
        <v>6</v>
      </c>
      <c r="D27">
        <v>1</v>
      </c>
      <c r="E27" t="s">
        <v>34</v>
      </c>
      <c r="F27" t="s">
        <v>409</v>
      </c>
      <c r="G27">
        <v>1</v>
      </c>
      <c r="H27">
        <v>1</v>
      </c>
      <c r="I27" s="25">
        <v>6.3800000000000008</v>
      </c>
      <c r="J27">
        <v>25.999999999999986</v>
      </c>
      <c r="K27">
        <v>26</v>
      </c>
      <c r="L27">
        <v>26</v>
      </c>
      <c r="M27">
        <v>1026.8</v>
      </c>
      <c r="N27" s="25">
        <v>0.46493250439740558</v>
      </c>
      <c r="O27" s="25">
        <v>7.748875073290093E-2</v>
      </c>
      <c r="P27" s="25">
        <v>0.47825279999999998</v>
      </c>
      <c r="Q27" s="25">
        <v>7.9708799999999996E-2</v>
      </c>
      <c r="R27" s="25">
        <v>71.103359999999995</v>
      </c>
      <c r="S27" s="25">
        <v>11.85056</v>
      </c>
      <c r="T27" s="22">
        <v>6</v>
      </c>
      <c r="U27" s="22">
        <v>0</v>
      </c>
      <c r="V27" s="11">
        <v>616.44840671097393</v>
      </c>
      <c r="W27" s="22">
        <v>1</v>
      </c>
      <c r="X27" s="22">
        <v>1</v>
      </c>
      <c r="Y27" s="22" t="s">
        <v>367</v>
      </c>
      <c r="AA27" t="s">
        <v>197</v>
      </c>
      <c r="AB27" s="22">
        <v>1</v>
      </c>
      <c r="AC27" t="s">
        <v>223</v>
      </c>
      <c r="AD27" t="s">
        <v>222</v>
      </c>
      <c r="AE27" s="25">
        <v>7200.0000000000009</v>
      </c>
      <c r="AF27" s="25">
        <v>1879.336134230718</v>
      </c>
      <c r="AG27">
        <v>2</v>
      </c>
      <c r="AH27">
        <v>1</v>
      </c>
      <c r="AK27" s="25">
        <v>0.32900000000000001</v>
      </c>
      <c r="AL27" s="25">
        <v>6.3941899128652321E-2</v>
      </c>
      <c r="AM27" s="25">
        <v>4</v>
      </c>
      <c r="AN27">
        <v>0.94</v>
      </c>
      <c r="AO27">
        <v>0.12388888888888888</v>
      </c>
      <c r="AP27">
        <v>6</v>
      </c>
      <c r="AQ27">
        <v>0</v>
      </c>
      <c r="AR27">
        <v>0</v>
      </c>
      <c r="AS27">
        <v>0</v>
      </c>
      <c r="AT27" t="b">
        <v>0</v>
      </c>
      <c r="AU27" t="b">
        <v>0</v>
      </c>
      <c r="AV27">
        <v>2</v>
      </c>
      <c r="AW27" s="22" t="b">
        <v>0</v>
      </c>
      <c r="AX27" s="22" t="b">
        <v>0</v>
      </c>
      <c r="AY27" s="22">
        <v>410</v>
      </c>
      <c r="AZ27" s="22">
        <v>410</v>
      </c>
      <c r="BA27" s="30">
        <v>7200.0000000000009</v>
      </c>
      <c r="BB27" s="35">
        <v>1879.336134230718</v>
      </c>
      <c r="BC27" s="25"/>
      <c r="BD27" s="25">
        <v>43.819112007057377</v>
      </c>
      <c r="BE27" s="25"/>
    </row>
    <row r="28" spans="1:57" x14ac:dyDescent="0.25">
      <c r="A28" t="s">
        <v>250</v>
      </c>
      <c r="B28" t="s">
        <v>367</v>
      </c>
      <c r="C28">
        <v>6</v>
      </c>
      <c r="D28">
        <v>1</v>
      </c>
      <c r="E28" t="s">
        <v>34</v>
      </c>
      <c r="F28" t="s">
        <v>409</v>
      </c>
      <c r="G28">
        <v>1</v>
      </c>
      <c r="H28">
        <v>1</v>
      </c>
      <c r="I28" s="25">
        <v>6.3800000000000008</v>
      </c>
      <c r="J28">
        <v>25.999999999999986</v>
      </c>
      <c r="K28">
        <v>26</v>
      </c>
      <c r="L28">
        <v>26</v>
      </c>
      <c r="M28">
        <v>1026.8</v>
      </c>
      <c r="N28" s="25">
        <v>0.46493250439740558</v>
      </c>
      <c r="O28" s="25">
        <v>7.748875073290093E-2</v>
      </c>
      <c r="P28" s="25">
        <v>0.47825279999999998</v>
      </c>
      <c r="Q28" s="25">
        <v>7.9708799999999996E-2</v>
      </c>
      <c r="R28" s="25">
        <v>71.103359999999995</v>
      </c>
      <c r="S28" s="25">
        <v>11.85056</v>
      </c>
      <c r="T28" s="22">
        <v>6</v>
      </c>
      <c r="U28" s="22">
        <v>0</v>
      </c>
      <c r="V28" s="11">
        <v>616.44840671097393</v>
      </c>
      <c r="W28" s="22">
        <v>1</v>
      </c>
      <c r="X28" s="22">
        <v>1</v>
      </c>
      <c r="Y28" s="22" t="s">
        <v>367</v>
      </c>
      <c r="AA28" t="s">
        <v>197</v>
      </c>
      <c r="AB28" s="22">
        <v>1</v>
      </c>
      <c r="AC28" t="s">
        <v>223</v>
      </c>
      <c r="AD28" t="s">
        <v>222</v>
      </c>
      <c r="AE28" s="25">
        <v>7200.0000000000009</v>
      </c>
      <c r="AF28" s="25">
        <v>1879.336134230718</v>
      </c>
      <c r="AG28">
        <v>2</v>
      </c>
      <c r="AH28">
        <v>1</v>
      </c>
      <c r="AK28" s="25">
        <v>0.32900000000000001</v>
      </c>
      <c r="AL28" s="25">
        <v>6.3941899128652321E-2</v>
      </c>
      <c r="AM28" s="25">
        <v>4</v>
      </c>
      <c r="AN28">
        <v>0.94</v>
      </c>
      <c r="AO28">
        <v>0.12388888888888888</v>
      </c>
      <c r="AP28">
        <v>6</v>
      </c>
      <c r="AQ28">
        <v>0</v>
      </c>
      <c r="AR28">
        <v>0</v>
      </c>
      <c r="AS28">
        <v>0</v>
      </c>
      <c r="AT28" t="b">
        <v>0</v>
      </c>
      <c r="AU28" t="b">
        <v>0</v>
      </c>
      <c r="AV28">
        <v>2</v>
      </c>
      <c r="AW28" s="22" t="b">
        <v>0</v>
      </c>
      <c r="AX28" s="22" t="b">
        <v>0</v>
      </c>
      <c r="AY28" s="22">
        <v>410</v>
      </c>
      <c r="AZ28" s="22">
        <v>410</v>
      </c>
      <c r="BA28" s="30">
        <v>7200.0000000000009</v>
      </c>
      <c r="BB28" s="35">
        <v>1879.336134230718</v>
      </c>
      <c r="BC28" s="25"/>
      <c r="BD28" s="25">
        <v>43.819112007057377</v>
      </c>
      <c r="BE28" s="25"/>
    </row>
    <row r="29" spans="1:57" x14ac:dyDescent="0.25">
      <c r="A29" t="s">
        <v>251</v>
      </c>
      <c r="B29" t="s">
        <v>367</v>
      </c>
      <c r="C29">
        <v>6</v>
      </c>
      <c r="D29">
        <v>1</v>
      </c>
      <c r="E29" t="s">
        <v>34</v>
      </c>
      <c r="F29" t="s">
        <v>409</v>
      </c>
      <c r="G29">
        <v>1</v>
      </c>
      <c r="H29">
        <v>1</v>
      </c>
      <c r="I29" s="25">
        <v>6.3800000000000008</v>
      </c>
      <c r="J29">
        <v>25.999999999999986</v>
      </c>
      <c r="K29">
        <v>26</v>
      </c>
      <c r="L29">
        <v>26</v>
      </c>
      <c r="M29">
        <v>1026.8</v>
      </c>
      <c r="N29" s="25">
        <v>0.46493250439740558</v>
      </c>
      <c r="O29" s="25">
        <v>7.748875073290093E-2</v>
      </c>
      <c r="P29" s="25">
        <v>0.47825279999999998</v>
      </c>
      <c r="Q29" s="25">
        <v>7.9708799999999996E-2</v>
      </c>
      <c r="R29" s="25">
        <v>71.103359999999995</v>
      </c>
      <c r="S29" s="25">
        <v>11.85056</v>
      </c>
      <c r="T29" s="22">
        <v>6</v>
      </c>
      <c r="U29" s="22">
        <v>0</v>
      </c>
      <c r="V29" s="11">
        <v>616.44840671097393</v>
      </c>
      <c r="W29" s="22">
        <v>1</v>
      </c>
      <c r="X29" s="22">
        <v>1</v>
      </c>
      <c r="Y29" s="22" t="s">
        <v>367</v>
      </c>
      <c r="AA29" t="s">
        <v>197</v>
      </c>
      <c r="AB29" s="22">
        <v>1</v>
      </c>
      <c r="AC29" t="s">
        <v>223</v>
      </c>
      <c r="AD29" t="s">
        <v>222</v>
      </c>
      <c r="AE29" s="25">
        <v>7200.0000000000009</v>
      </c>
      <c r="AF29" s="25">
        <v>1879.336134230718</v>
      </c>
      <c r="AG29">
        <v>2</v>
      </c>
      <c r="AH29">
        <v>1</v>
      </c>
      <c r="AK29" s="25">
        <v>0.32900000000000001</v>
      </c>
      <c r="AL29" s="25">
        <v>6.3941899128652321E-2</v>
      </c>
      <c r="AM29" s="25">
        <v>4</v>
      </c>
      <c r="AN29">
        <v>0.94</v>
      </c>
      <c r="AO29">
        <v>0.12388888888888888</v>
      </c>
      <c r="AP29">
        <v>6</v>
      </c>
      <c r="AQ29">
        <v>0</v>
      </c>
      <c r="AR29">
        <v>0</v>
      </c>
      <c r="AS29">
        <v>0</v>
      </c>
      <c r="AT29" t="b">
        <v>0</v>
      </c>
      <c r="AU29" t="b">
        <v>0</v>
      </c>
      <c r="AV29">
        <v>2</v>
      </c>
      <c r="AW29" s="22" t="b">
        <v>0</v>
      </c>
      <c r="AX29" s="22" t="b">
        <v>0</v>
      </c>
      <c r="AY29" s="22">
        <v>410</v>
      </c>
      <c r="AZ29" s="22">
        <v>410</v>
      </c>
      <c r="BA29" s="30">
        <v>7200.0000000000009</v>
      </c>
      <c r="BB29" s="35">
        <v>1879.336134230718</v>
      </c>
      <c r="BC29" s="25"/>
      <c r="BD29" s="25">
        <v>43.819112007057377</v>
      </c>
      <c r="BE29" s="25"/>
    </row>
    <row r="30" spans="1:57" x14ac:dyDescent="0.25">
      <c r="A30" t="s">
        <v>252</v>
      </c>
      <c r="B30" t="s">
        <v>367</v>
      </c>
      <c r="C30">
        <v>6</v>
      </c>
      <c r="D30">
        <v>1</v>
      </c>
      <c r="E30" t="s">
        <v>34</v>
      </c>
      <c r="F30" t="s">
        <v>409</v>
      </c>
      <c r="G30">
        <v>1</v>
      </c>
      <c r="H30">
        <v>1</v>
      </c>
      <c r="I30" s="25">
        <v>6.3800000000000008</v>
      </c>
      <c r="J30">
        <v>25.999999999999986</v>
      </c>
      <c r="K30">
        <v>26</v>
      </c>
      <c r="L30">
        <v>26</v>
      </c>
      <c r="M30">
        <v>1026.8</v>
      </c>
      <c r="N30" s="25">
        <v>0.46493250439740558</v>
      </c>
      <c r="O30" s="25">
        <v>7.748875073290093E-2</v>
      </c>
      <c r="P30" s="25">
        <v>0.47825279999999998</v>
      </c>
      <c r="Q30" s="25">
        <v>7.9708799999999996E-2</v>
      </c>
      <c r="R30" s="25">
        <v>71.103359999999995</v>
      </c>
      <c r="S30" s="25">
        <v>11.85056</v>
      </c>
      <c r="T30" s="22">
        <v>6</v>
      </c>
      <c r="U30" s="22">
        <v>0</v>
      </c>
      <c r="V30" s="11">
        <v>616.44840671097393</v>
      </c>
      <c r="W30" s="22">
        <v>1</v>
      </c>
      <c r="X30" s="22">
        <v>1</v>
      </c>
      <c r="Y30" s="22" t="s">
        <v>367</v>
      </c>
      <c r="AA30" t="s">
        <v>197</v>
      </c>
      <c r="AB30" s="22">
        <v>1</v>
      </c>
      <c r="AC30" t="s">
        <v>223</v>
      </c>
      <c r="AD30" t="s">
        <v>222</v>
      </c>
      <c r="AE30" s="25">
        <v>7200.0000000000009</v>
      </c>
      <c r="AF30" s="25">
        <v>1879.336134230718</v>
      </c>
      <c r="AG30">
        <v>2</v>
      </c>
      <c r="AH30">
        <v>1</v>
      </c>
      <c r="AK30" s="25">
        <v>0.32900000000000001</v>
      </c>
      <c r="AL30" s="25">
        <v>6.3941899128652321E-2</v>
      </c>
      <c r="AM30" s="25">
        <v>4</v>
      </c>
      <c r="AN30">
        <v>0.94</v>
      </c>
      <c r="AO30">
        <v>0.12388888888888888</v>
      </c>
      <c r="AP30">
        <v>6</v>
      </c>
      <c r="AQ30">
        <v>0</v>
      </c>
      <c r="AR30">
        <v>0</v>
      </c>
      <c r="AS30">
        <v>0</v>
      </c>
      <c r="AT30" t="b">
        <v>0</v>
      </c>
      <c r="AU30" t="b">
        <v>0</v>
      </c>
      <c r="AV30">
        <v>2</v>
      </c>
      <c r="AW30" s="22" t="b">
        <v>0</v>
      </c>
      <c r="AX30" s="22" t="b">
        <v>0</v>
      </c>
      <c r="AY30" s="22">
        <v>410</v>
      </c>
      <c r="AZ30" s="22">
        <v>410</v>
      </c>
      <c r="BA30" s="30">
        <v>7200.0000000000009</v>
      </c>
      <c r="BB30" s="35">
        <v>1879.336134230718</v>
      </c>
      <c r="BC30" s="25"/>
      <c r="BD30" s="25">
        <v>43.819112007057377</v>
      </c>
      <c r="BE30" s="25"/>
    </row>
    <row r="31" spans="1:57" x14ac:dyDescent="0.25">
      <c r="A31" t="s">
        <v>253</v>
      </c>
      <c r="B31" t="s">
        <v>368</v>
      </c>
      <c r="C31">
        <v>5</v>
      </c>
      <c r="D31">
        <v>1</v>
      </c>
      <c r="E31" t="s">
        <v>34</v>
      </c>
      <c r="F31" t="s">
        <v>409</v>
      </c>
      <c r="G31">
        <v>1</v>
      </c>
      <c r="H31">
        <v>1</v>
      </c>
      <c r="I31" s="25">
        <v>7.080000000000001</v>
      </c>
      <c r="J31">
        <v>26.000000000000018</v>
      </c>
      <c r="K31">
        <v>26</v>
      </c>
      <c r="L31">
        <v>26</v>
      </c>
      <c r="M31">
        <v>980.80000000000018</v>
      </c>
      <c r="N31" s="25">
        <v>0.43459751795229462</v>
      </c>
      <c r="O31" s="25">
        <v>8.6919503590458927E-2</v>
      </c>
      <c r="P31" s="25">
        <v>0.45919199999999999</v>
      </c>
      <c r="Q31" s="25">
        <v>9.1838400000000001E-2</v>
      </c>
      <c r="R31" s="25">
        <v>77.612799999999993</v>
      </c>
      <c r="S31" s="25">
        <v>15.522559999999999</v>
      </c>
      <c r="T31" s="22">
        <v>8</v>
      </c>
      <c r="U31" s="22">
        <v>1</v>
      </c>
      <c r="V31" s="11">
        <v>707.54965256334083</v>
      </c>
      <c r="W31" s="22">
        <v>1</v>
      </c>
      <c r="X31" s="22">
        <v>1</v>
      </c>
      <c r="Y31" s="22" t="s">
        <v>368</v>
      </c>
      <c r="AA31" t="s">
        <v>198</v>
      </c>
      <c r="AB31" s="22">
        <v>1</v>
      </c>
      <c r="AC31" t="s">
        <v>223</v>
      </c>
      <c r="AD31" t="s">
        <v>222</v>
      </c>
      <c r="AE31" s="25">
        <v>7900.0000000000009</v>
      </c>
      <c r="AF31" s="25">
        <v>2050.0425402279943</v>
      </c>
      <c r="AG31">
        <v>2</v>
      </c>
      <c r="AH31">
        <v>1</v>
      </c>
      <c r="AK31" s="25">
        <v>0.40720198186538537</v>
      </c>
      <c r="AL31" s="25">
        <v>7.7056691533073901E-2</v>
      </c>
      <c r="AM31" s="25">
        <v>5</v>
      </c>
      <c r="AN31">
        <v>1.48</v>
      </c>
      <c r="AO31">
        <v>0.16999999999999998</v>
      </c>
      <c r="AP31">
        <v>8</v>
      </c>
      <c r="AQ31">
        <v>0</v>
      </c>
      <c r="AR31">
        <v>0</v>
      </c>
      <c r="AS31">
        <v>0</v>
      </c>
      <c r="AT31" t="b">
        <v>0</v>
      </c>
      <c r="AU31" t="b">
        <v>0</v>
      </c>
      <c r="AV31">
        <v>2</v>
      </c>
      <c r="AW31" s="22" t="b">
        <v>0</v>
      </c>
      <c r="AX31" s="22" t="b">
        <v>0</v>
      </c>
      <c r="AY31" s="22">
        <v>410</v>
      </c>
      <c r="AZ31" s="22">
        <v>410</v>
      </c>
      <c r="BA31" s="30">
        <v>7900.0000000000009</v>
      </c>
      <c r="BB31" s="35">
        <v>2050.0425402279943</v>
      </c>
      <c r="BC31" s="25"/>
      <c r="BD31" s="25">
        <v>49.353309796936742</v>
      </c>
      <c r="BE31" s="25"/>
    </row>
    <row r="32" spans="1:57" x14ac:dyDescent="0.25">
      <c r="A32" t="s">
        <v>254</v>
      </c>
      <c r="B32" t="s">
        <v>368</v>
      </c>
      <c r="C32">
        <v>5</v>
      </c>
      <c r="D32">
        <v>1</v>
      </c>
      <c r="E32" t="s">
        <v>34</v>
      </c>
      <c r="F32" t="s">
        <v>409</v>
      </c>
      <c r="G32">
        <v>1</v>
      </c>
      <c r="H32">
        <v>1</v>
      </c>
      <c r="I32" s="25">
        <v>7.080000000000001</v>
      </c>
      <c r="J32">
        <v>26.000000000000018</v>
      </c>
      <c r="K32">
        <v>26</v>
      </c>
      <c r="L32">
        <v>26</v>
      </c>
      <c r="M32">
        <v>980.80000000000018</v>
      </c>
      <c r="N32" s="25">
        <v>0.43459751795229462</v>
      </c>
      <c r="O32" s="25">
        <v>8.6919503590458927E-2</v>
      </c>
      <c r="P32" s="25">
        <v>0.45919199999999999</v>
      </c>
      <c r="Q32" s="25">
        <v>9.1838400000000001E-2</v>
      </c>
      <c r="R32" s="25">
        <v>77.612799999999993</v>
      </c>
      <c r="S32" s="25">
        <v>15.522559999999999</v>
      </c>
      <c r="T32" s="22">
        <v>8</v>
      </c>
      <c r="U32" s="22">
        <v>1</v>
      </c>
      <c r="V32" s="11">
        <v>707.54965256334083</v>
      </c>
      <c r="W32" s="22">
        <v>1</v>
      </c>
      <c r="X32" s="22">
        <v>1</v>
      </c>
      <c r="Y32" s="22" t="s">
        <v>368</v>
      </c>
      <c r="AA32" t="s">
        <v>198</v>
      </c>
      <c r="AB32" s="22">
        <v>1</v>
      </c>
      <c r="AC32" t="s">
        <v>223</v>
      </c>
      <c r="AD32" t="s">
        <v>222</v>
      </c>
      <c r="AE32" s="25">
        <v>7900.0000000000009</v>
      </c>
      <c r="AF32" s="25">
        <v>2050.0425402279943</v>
      </c>
      <c r="AG32">
        <v>2</v>
      </c>
      <c r="AH32">
        <v>1</v>
      </c>
      <c r="AK32" s="25">
        <v>0.40720198186538537</v>
      </c>
      <c r="AL32" s="25">
        <v>7.7056691533073901E-2</v>
      </c>
      <c r="AM32" s="25">
        <v>5</v>
      </c>
      <c r="AN32">
        <v>1.48</v>
      </c>
      <c r="AO32">
        <v>0.16999999999999998</v>
      </c>
      <c r="AP32">
        <v>8</v>
      </c>
      <c r="AQ32">
        <v>0</v>
      </c>
      <c r="AR32">
        <v>0</v>
      </c>
      <c r="AS32">
        <v>0</v>
      </c>
      <c r="AT32" t="b">
        <v>0</v>
      </c>
      <c r="AU32" t="b">
        <v>0</v>
      </c>
      <c r="AV32">
        <v>2</v>
      </c>
      <c r="AW32" s="22" t="b">
        <v>0</v>
      </c>
      <c r="AX32" s="22" t="b">
        <v>0</v>
      </c>
      <c r="AY32" s="22">
        <v>410</v>
      </c>
      <c r="AZ32" s="22">
        <v>410</v>
      </c>
      <c r="BA32" s="30">
        <v>7900.0000000000009</v>
      </c>
      <c r="BB32" s="35">
        <v>2050.0425402279943</v>
      </c>
      <c r="BC32" s="25"/>
      <c r="BD32" s="25">
        <v>49.353309796936742</v>
      </c>
      <c r="BE32" s="25"/>
    </row>
    <row r="33" spans="1:57" x14ac:dyDescent="0.25">
      <c r="A33" t="s">
        <v>255</v>
      </c>
      <c r="B33" t="s">
        <v>368</v>
      </c>
      <c r="C33">
        <v>5</v>
      </c>
      <c r="D33">
        <v>1</v>
      </c>
      <c r="E33" t="s">
        <v>34</v>
      </c>
      <c r="F33" t="s">
        <v>409</v>
      </c>
      <c r="G33">
        <v>1</v>
      </c>
      <c r="H33">
        <v>1</v>
      </c>
      <c r="I33" s="25">
        <v>7.080000000000001</v>
      </c>
      <c r="J33">
        <v>26.000000000000018</v>
      </c>
      <c r="K33">
        <v>26</v>
      </c>
      <c r="L33">
        <v>26</v>
      </c>
      <c r="M33">
        <v>980.80000000000018</v>
      </c>
      <c r="N33" s="25">
        <v>0.43459751795229462</v>
      </c>
      <c r="O33" s="25">
        <v>8.6919503590458927E-2</v>
      </c>
      <c r="P33" s="25">
        <v>0.45919199999999999</v>
      </c>
      <c r="Q33" s="25">
        <v>9.1838400000000001E-2</v>
      </c>
      <c r="R33" s="25">
        <v>77.612799999999993</v>
      </c>
      <c r="S33" s="25">
        <v>15.522559999999999</v>
      </c>
      <c r="T33" s="22">
        <v>8</v>
      </c>
      <c r="U33" s="22">
        <v>1</v>
      </c>
      <c r="V33" s="11">
        <v>707.54965256334083</v>
      </c>
      <c r="W33" s="22">
        <v>1</v>
      </c>
      <c r="X33" s="22">
        <v>1</v>
      </c>
      <c r="Y33" s="22" t="s">
        <v>368</v>
      </c>
      <c r="AA33" t="s">
        <v>198</v>
      </c>
      <c r="AB33" s="22">
        <v>1</v>
      </c>
      <c r="AC33" t="s">
        <v>223</v>
      </c>
      <c r="AD33" t="s">
        <v>222</v>
      </c>
      <c r="AE33" s="25">
        <v>7900.0000000000009</v>
      </c>
      <c r="AF33" s="25">
        <v>2050.0425402279943</v>
      </c>
      <c r="AG33">
        <v>2</v>
      </c>
      <c r="AH33">
        <v>1</v>
      </c>
      <c r="AK33" s="25">
        <v>0.40720198186538537</v>
      </c>
      <c r="AL33" s="25">
        <v>7.7056691533073901E-2</v>
      </c>
      <c r="AM33" s="25">
        <v>5</v>
      </c>
      <c r="AN33">
        <v>1.48</v>
      </c>
      <c r="AO33">
        <v>0.16999999999999998</v>
      </c>
      <c r="AP33">
        <v>8</v>
      </c>
      <c r="AQ33">
        <v>0</v>
      </c>
      <c r="AR33">
        <v>0</v>
      </c>
      <c r="AS33">
        <v>0</v>
      </c>
      <c r="AT33" t="b">
        <v>0</v>
      </c>
      <c r="AU33" t="b">
        <v>0</v>
      </c>
      <c r="AV33">
        <v>2</v>
      </c>
      <c r="AW33" s="22" t="b">
        <v>0</v>
      </c>
      <c r="AX33" s="22" t="b">
        <v>0</v>
      </c>
      <c r="AY33" s="22">
        <v>410</v>
      </c>
      <c r="AZ33" s="22">
        <v>410</v>
      </c>
      <c r="BA33" s="30">
        <v>7900.0000000000009</v>
      </c>
      <c r="BB33" s="35">
        <v>2050.0425402279943</v>
      </c>
      <c r="BC33" s="25"/>
      <c r="BD33" s="25">
        <v>49.353309796936742</v>
      </c>
      <c r="BE33" s="25"/>
    </row>
    <row r="34" spans="1:57" x14ac:dyDescent="0.25">
      <c r="A34" t="s">
        <v>256</v>
      </c>
      <c r="B34" t="s">
        <v>368</v>
      </c>
      <c r="C34">
        <v>5</v>
      </c>
      <c r="D34">
        <v>1</v>
      </c>
      <c r="E34" t="s">
        <v>34</v>
      </c>
      <c r="F34" t="s">
        <v>409</v>
      </c>
      <c r="G34">
        <v>1</v>
      </c>
      <c r="H34">
        <v>1</v>
      </c>
      <c r="I34" s="25">
        <v>7.080000000000001</v>
      </c>
      <c r="J34">
        <v>26.000000000000018</v>
      </c>
      <c r="K34">
        <v>26</v>
      </c>
      <c r="L34">
        <v>26</v>
      </c>
      <c r="M34">
        <v>980.80000000000018</v>
      </c>
      <c r="N34" s="25">
        <v>0.43459751795229462</v>
      </c>
      <c r="O34" s="25">
        <v>8.6919503590458927E-2</v>
      </c>
      <c r="P34" s="25">
        <v>0.45919199999999999</v>
      </c>
      <c r="Q34" s="25">
        <v>9.1838400000000001E-2</v>
      </c>
      <c r="R34" s="25">
        <v>77.612799999999993</v>
      </c>
      <c r="S34" s="25">
        <v>15.522559999999999</v>
      </c>
      <c r="T34" s="22">
        <v>8</v>
      </c>
      <c r="U34" s="22">
        <v>1</v>
      </c>
      <c r="V34" s="11">
        <v>707.54965256334083</v>
      </c>
      <c r="W34" s="22">
        <v>1</v>
      </c>
      <c r="X34" s="22">
        <v>1</v>
      </c>
      <c r="Y34" s="22" t="s">
        <v>368</v>
      </c>
      <c r="AA34" t="s">
        <v>198</v>
      </c>
      <c r="AB34" s="22">
        <v>1</v>
      </c>
      <c r="AC34" t="s">
        <v>223</v>
      </c>
      <c r="AD34" t="s">
        <v>222</v>
      </c>
      <c r="AE34" s="25">
        <v>7900.0000000000009</v>
      </c>
      <c r="AF34" s="25">
        <v>2050.0425402279943</v>
      </c>
      <c r="AG34">
        <v>2</v>
      </c>
      <c r="AH34">
        <v>1</v>
      </c>
      <c r="AK34" s="25">
        <v>0.40720198186538537</v>
      </c>
      <c r="AL34" s="25">
        <v>7.7056691533073901E-2</v>
      </c>
      <c r="AM34" s="25">
        <v>5</v>
      </c>
      <c r="AN34">
        <v>1.48</v>
      </c>
      <c r="AO34">
        <v>0.16999999999999998</v>
      </c>
      <c r="AP34">
        <v>8</v>
      </c>
      <c r="AQ34">
        <v>0</v>
      </c>
      <c r="AR34">
        <v>0</v>
      </c>
      <c r="AS34">
        <v>0</v>
      </c>
      <c r="AT34" t="b">
        <v>0</v>
      </c>
      <c r="AU34" t="b">
        <v>0</v>
      </c>
      <c r="AV34">
        <v>2</v>
      </c>
      <c r="AW34" s="22" t="b">
        <v>0</v>
      </c>
      <c r="AX34" s="22" t="b">
        <v>0</v>
      </c>
      <c r="AY34" s="22">
        <v>410</v>
      </c>
      <c r="AZ34" s="22">
        <v>410</v>
      </c>
      <c r="BA34" s="30">
        <v>7900.0000000000009</v>
      </c>
      <c r="BB34" s="35">
        <v>2050.0425402279943</v>
      </c>
      <c r="BC34" s="25"/>
      <c r="BD34" s="25">
        <v>49.353309796936742</v>
      </c>
      <c r="BE34" s="25"/>
    </row>
    <row r="35" spans="1:57" x14ac:dyDescent="0.25">
      <c r="A35" t="s">
        <v>257</v>
      </c>
      <c r="B35" t="s">
        <v>368</v>
      </c>
      <c r="C35">
        <v>5</v>
      </c>
      <c r="D35">
        <v>1</v>
      </c>
      <c r="E35" t="s">
        <v>34</v>
      </c>
      <c r="F35" t="s">
        <v>409</v>
      </c>
      <c r="G35">
        <v>1</v>
      </c>
      <c r="H35">
        <v>1</v>
      </c>
      <c r="I35" s="25">
        <v>7.080000000000001</v>
      </c>
      <c r="J35">
        <v>26.000000000000018</v>
      </c>
      <c r="K35">
        <v>26</v>
      </c>
      <c r="L35">
        <v>26</v>
      </c>
      <c r="M35">
        <v>980.80000000000018</v>
      </c>
      <c r="N35" s="25">
        <v>0.43459751795229462</v>
      </c>
      <c r="O35" s="25">
        <v>8.6919503590458927E-2</v>
      </c>
      <c r="P35" s="25">
        <v>0.45919199999999999</v>
      </c>
      <c r="Q35" s="25">
        <v>9.1838400000000001E-2</v>
      </c>
      <c r="R35" s="25">
        <v>77.612799999999993</v>
      </c>
      <c r="S35" s="25">
        <v>15.522559999999999</v>
      </c>
      <c r="T35" s="22">
        <v>8</v>
      </c>
      <c r="U35" s="22">
        <v>1</v>
      </c>
      <c r="V35" s="11">
        <v>707.54965256334083</v>
      </c>
      <c r="W35" s="22">
        <v>1</v>
      </c>
      <c r="X35" s="22">
        <v>1</v>
      </c>
      <c r="Y35" s="22" t="s">
        <v>368</v>
      </c>
      <c r="AA35" t="s">
        <v>198</v>
      </c>
      <c r="AB35" s="22">
        <v>1</v>
      </c>
      <c r="AC35" t="s">
        <v>223</v>
      </c>
      <c r="AD35" t="s">
        <v>222</v>
      </c>
      <c r="AE35" s="25">
        <v>7900.0000000000009</v>
      </c>
      <c r="AF35" s="25">
        <v>2050.0425402279943</v>
      </c>
      <c r="AG35">
        <v>2</v>
      </c>
      <c r="AH35">
        <v>1</v>
      </c>
      <c r="AK35" s="25">
        <v>0.40720198186538537</v>
      </c>
      <c r="AL35" s="25">
        <v>7.7056691533073901E-2</v>
      </c>
      <c r="AM35" s="25">
        <v>5</v>
      </c>
      <c r="AN35">
        <v>1.48</v>
      </c>
      <c r="AO35">
        <v>0.16999999999999998</v>
      </c>
      <c r="AP35">
        <v>8</v>
      </c>
      <c r="AQ35">
        <v>0</v>
      </c>
      <c r="AR35">
        <v>0</v>
      </c>
      <c r="AS35">
        <v>0</v>
      </c>
      <c r="AT35" t="b">
        <v>0</v>
      </c>
      <c r="AU35" t="b">
        <v>0</v>
      </c>
      <c r="AV35">
        <v>2</v>
      </c>
      <c r="AW35" s="22" t="b">
        <v>0</v>
      </c>
      <c r="AX35" s="22" t="b">
        <v>0</v>
      </c>
      <c r="AY35" s="22">
        <v>410</v>
      </c>
      <c r="AZ35" s="22">
        <v>410</v>
      </c>
      <c r="BA35" s="30">
        <v>7900.0000000000009</v>
      </c>
      <c r="BB35" s="35">
        <v>2050.0425402279943</v>
      </c>
      <c r="BC35" s="25"/>
      <c r="BD35" s="25">
        <v>49.353309796936742</v>
      </c>
      <c r="BE35" s="25"/>
    </row>
    <row r="36" spans="1:57" x14ac:dyDescent="0.25">
      <c r="A36" t="s">
        <v>258</v>
      </c>
      <c r="B36" t="s">
        <v>369</v>
      </c>
      <c r="C36">
        <v>1</v>
      </c>
      <c r="D36">
        <v>1</v>
      </c>
      <c r="E36" t="s">
        <v>34</v>
      </c>
      <c r="F36" t="s">
        <v>409</v>
      </c>
      <c r="G36">
        <v>1</v>
      </c>
      <c r="H36">
        <v>1</v>
      </c>
      <c r="I36" s="25">
        <v>7.0320047314593506</v>
      </c>
      <c r="J36">
        <v>26.000000000000004</v>
      </c>
      <c r="K36">
        <v>26</v>
      </c>
      <c r="L36">
        <v>26</v>
      </c>
      <c r="M36">
        <v>980.80000000000018</v>
      </c>
      <c r="N36" s="25">
        <v>8.446082633618035E-2</v>
      </c>
      <c r="O36" s="25">
        <v>8.446082633618035E-2</v>
      </c>
      <c r="P36" s="25">
        <v>8.9239200000000005E-2</v>
      </c>
      <c r="Q36" s="25">
        <v>8.9239200000000005E-2</v>
      </c>
      <c r="R36" s="25">
        <v>15.292960000000001</v>
      </c>
      <c r="S36" s="25">
        <v>15.292960000000001</v>
      </c>
      <c r="T36" s="22">
        <v>8</v>
      </c>
      <c r="U36" s="22">
        <v>1</v>
      </c>
      <c r="V36" s="11">
        <v>832.84618190565925</v>
      </c>
      <c r="W36" s="22">
        <v>1</v>
      </c>
      <c r="X36" s="22">
        <v>1</v>
      </c>
      <c r="Y36" s="22" t="s">
        <v>369</v>
      </c>
      <c r="AA36" t="s">
        <v>198</v>
      </c>
      <c r="AB36" s="22">
        <v>1</v>
      </c>
      <c r="AC36" t="s">
        <v>223</v>
      </c>
      <c r="AD36" t="s">
        <v>222</v>
      </c>
      <c r="AE36" s="25">
        <v>7442.0047314593521</v>
      </c>
      <c r="AF36" s="25">
        <v>2050.0425402279943</v>
      </c>
      <c r="AG36">
        <v>2</v>
      </c>
      <c r="AH36">
        <v>1</v>
      </c>
      <c r="AK36" s="25">
        <v>0.47674710354814848</v>
      </c>
      <c r="AL36" s="25">
        <v>7.5888182165031848E-2</v>
      </c>
      <c r="AM36" s="25">
        <v>6</v>
      </c>
      <c r="AN36">
        <v>1.49</v>
      </c>
      <c r="AO36">
        <v>0.17</v>
      </c>
      <c r="AP36">
        <v>8</v>
      </c>
      <c r="AQ36">
        <v>0</v>
      </c>
      <c r="AR36">
        <v>0</v>
      </c>
      <c r="AS36">
        <v>0</v>
      </c>
      <c r="AT36" t="b">
        <v>0</v>
      </c>
      <c r="AU36" t="b">
        <v>0</v>
      </c>
      <c r="AV36">
        <v>2</v>
      </c>
      <c r="AW36" s="22" t="b">
        <v>0</v>
      </c>
      <c r="AX36" s="22" t="b">
        <v>0</v>
      </c>
      <c r="AY36" s="22">
        <v>0</v>
      </c>
      <c r="AZ36" s="22">
        <v>410.00000000000136</v>
      </c>
      <c r="BA36" s="30">
        <v>7447.5575781310172</v>
      </c>
      <c r="BB36" s="35">
        <v>1968.5182562840118</v>
      </c>
      <c r="BC36" s="25"/>
      <c r="BD36" s="25">
        <v>48.019175770506209</v>
      </c>
      <c r="BE36" s="25"/>
    </row>
    <row r="37" spans="1:57" x14ac:dyDescent="0.25">
      <c r="A37" t="s">
        <v>259</v>
      </c>
      <c r="B37" t="s">
        <v>370</v>
      </c>
      <c r="C37">
        <v>5</v>
      </c>
      <c r="D37">
        <v>1</v>
      </c>
      <c r="E37" t="s">
        <v>34</v>
      </c>
      <c r="F37" t="s">
        <v>409</v>
      </c>
      <c r="G37">
        <v>1</v>
      </c>
      <c r="H37">
        <v>1</v>
      </c>
      <c r="I37" s="25">
        <v>4.7200000000000006</v>
      </c>
      <c r="J37">
        <v>26.000000000000021</v>
      </c>
      <c r="K37">
        <v>26</v>
      </c>
      <c r="L37">
        <v>26</v>
      </c>
      <c r="M37">
        <v>1200.0000476837158</v>
      </c>
      <c r="N37" s="25">
        <v>0.3147928853621344</v>
      </c>
      <c r="O37" s="25">
        <v>6.2958577072426872E-2</v>
      </c>
      <c r="P37" s="25">
        <v>0.33572999999999997</v>
      </c>
      <c r="Q37" s="25">
        <v>6.7145999999999997E-2</v>
      </c>
      <c r="R37" s="25">
        <v>56.306800000000003</v>
      </c>
      <c r="S37" s="25">
        <v>11.26136</v>
      </c>
      <c r="T37" s="22">
        <v>6</v>
      </c>
      <c r="U37" s="22">
        <v>0</v>
      </c>
      <c r="V37" s="11">
        <v>518.07508950447993</v>
      </c>
      <c r="W37" s="22">
        <v>1</v>
      </c>
      <c r="X37" s="22">
        <v>1</v>
      </c>
      <c r="Y37" s="22" t="s">
        <v>370</v>
      </c>
      <c r="AA37" t="s">
        <v>199</v>
      </c>
      <c r="AB37" s="22">
        <v>1</v>
      </c>
      <c r="AC37" t="s">
        <v>223</v>
      </c>
      <c r="AD37" t="s">
        <v>222</v>
      </c>
      <c r="AE37" s="25">
        <v>5130.0000000000009</v>
      </c>
      <c r="AF37" s="25">
        <v>2050.0425402279943</v>
      </c>
      <c r="AG37">
        <v>2</v>
      </c>
      <c r="AH37">
        <v>1</v>
      </c>
      <c r="AK37" s="25">
        <v>0.53820198186538548</v>
      </c>
      <c r="AL37" s="25">
        <v>6.1756439072042847E-2</v>
      </c>
      <c r="AM37" s="25">
        <v>7</v>
      </c>
      <c r="AN37">
        <v>1.17</v>
      </c>
      <c r="AO37">
        <v>0.13</v>
      </c>
      <c r="AP37">
        <v>6</v>
      </c>
      <c r="AQ37">
        <v>0</v>
      </c>
      <c r="AR37">
        <v>0</v>
      </c>
      <c r="AS37">
        <v>0</v>
      </c>
      <c r="AT37" t="b">
        <v>0</v>
      </c>
      <c r="AU37" t="b">
        <v>0</v>
      </c>
      <c r="AV37">
        <v>2</v>
      </c>
      <c r="AW37" s="22" t="b">
        <v>1</v>
      </c>
      <c r="AX37" s="22" t="b">
        <v>0</v>
      </c>
      <c r="AY37" s="22">
        <v>110</v>
      </c>
      <c r="AZ37" s="22">
        <v>410</v>
      </c>
      <c r="BA37" s="30">
        <v>5135.5805743061301</v>
      </c>
      <c r="BB37" s="35">
        <v>1931.5218415194906</v>
      </c>
      <c r="BC37" s="25"/>
      <c r="BD37" s="25">
        <v>35.631287788802275</v>
      </c>
      <c r="BE37" s="25"/>
    </row>
    <row r="38" spans="1:57" x14ac:dyDescent="0.25">
      <c r="A38" t="s">
        <v>260</v>
      </c>
      <c r="B38" t="s">
        <v>370</v>
      </c>
      <c r="C38">
        <v>5</v>
      </c>
      <c r="D38">
        <v>1</v>
      </c>
      <c r="E38" t="s">
        <v>34</v>
      </c>
      <c r="F38" t="s">
        <v>409</v>
      </c>
      <c r="G38">
        <v>1</v>
      </c>
      <c r="H38">
        <v>1</v>
      </c>
      <c r="I38" s="25">
        <v>4.7200000000000006</v>
      </c>
      <c r="J38">
        <v>26.000000000000021</v>
      </c>
      <c r="K38">
        <v>26</v>
      </c>
      <c r="L38">
        <v>26</v>
      </c>
      <c r="M38">
        <v>1200.0000476837158</v>
      </c>
      <c r="N38" s="25">
        <v>0.3147928853621344</v>
      </c>
      <c r="O38" s="25">
        <v>6.2958577072426872E-2</v>
      </c>
      <c r="P38" s="25">
        <v>0.33572999999999997</v>
      </c>
      <c r="Q38" s="25">
        <v>6.7145999999999997E-2</v>
      </c>
      <c r="R38" s="25">
        <v>56.306800000000003</v>
      </c>
      <c r="S38" s="25">
        <v>11.26136</v>
      </c>
      <c r="T38" s="22">
        <v>6</v>
      </c>
      <c r="U38" s="22">
        <v>0</v>
      </c>
      <c r="V38" s="11">
        <v>518.07508950447993</v>
      </c>
      <c r="W38" s="22">
        <v>1</v>
      </c>
      <c r="X38" s="22">
        <v>1</v>
      </c>
      <c r="Y38" s="22" t="s">
        <v>370</v>
      </c>
      <c r="AA38" t="s">
        <v>199</v>
      </c>
      <c r="AB38" s="22">
        <v>1</v>
      </c>
      <c r="AC38" t="s">
        <v>223</v>
      </c>
      <c r="AD38" t="s">
        <v>222</v>
      </c>
      <c r="AE38" s="25">
        <v>5130.0000000000009</v>
      </c>
      <c r="AF38" s="25">
        <v>2050.0425402279943</v>
      </c>
      <c r="AG38">
        <v>2</v>
      </c>
      <c r="AH38">
        <v>1</v>
      </c>
      <c r="AK38" s="25">
        <v>0.53820198186538548</v>
      </c>
      <c r="AL38" s="25">
        <v>6.1756439072042847E-2</v>
      </c>
      <c r="AM38" s="25">
        <v>7</v>
      </c>
      <c r="AN38">
        <v>1.17</v>
      </c>
      <c r="AO38">
        <v>0.13</v>
      </c>
      <c r="AP38">
        <v>6</v>
      </c>
      <c r="AQ38">
        <v>0</v>
      </c>
      <c r="AR38">
        <v>0</v>
      </c>
      <c r="AS38">
        <v>0</v>
      </c>
      <c r="AT38" t="b">
        <v>0</v>
      </c>
      <c r="AU38" t="b">
        <v>0</v>
      </c>
      <c r="AV38">
        <v>2</v>
      </c>
      <c r="AW38" s="22" t="b">
        <v>1</v>
      </c>
      <c r="AX38" s="22" t="b">
        <v>0</v>
      </c>
      <c r="AY38" s="22">
        <v>110</v>
      </c>
      <c r="AZ38" s="22">
        <v>410</v>
      </c>
      <c r="BA38" s="30">
        <v>5135.5805743061301</v>
      </c>
      <c r="BB38" s="35">
        <v>1931.5218415194906</v>
      </c>
      <c r="BC38" s="25"/>
      <c r="BD38" s="25">
        <v>35.631287788802275</v>
      </c>
      <c r="BE38" s="25"/>
    </row>
    <row r="39" spans="1:57" x14ac:dyDescent="0.25">
      <c r="A39" t="s">
        <v>261</v>
      </c>
      <c r="B39" t="s">
        <v>370</v>
      </c>
      <c r="C39">
        <v>5</v>
      </c>
      <c r="D39">
        <v>1</v>
      </c>
      <c r="E39" t="s">
        <v>34</v>
      </c>
      <c r="F39" t="s">
        <v>409</v>
      </c>
      <c r="G39">
        <v>1</v>
      </c>
      <c r="H39">
        <v>1</v>
      </c>
      <c r="I39" s="25">
        <v>4.7200000000000006</v>
      </c>
      <c r="J39">
        <v>26.000000000000021</v>
      </c>
      <c r="K39">
        <v>26</v>
      </c>
      <c r="L39">
        <v>26</v>
      </c>
      <c r="M39">
        <v>1200.0000476837158</v>
      </c>
      <c r="N39" s="25">
        <v>0.3147928853621344</v>
      </c>
      <c r="O39" s="25">
        <v>6.2958577072426872E-2</v>
      </c>
      <c r="P39" s="25">
        <v>0.33572999999999997</v>
      </c>
      <c r="Q39" s="25">
        <v>6.7145999999999997E-2</v>
      </c>
      <c r="R39" s="25">
        <v>56.306800000000003</v>
      </c>
      <c r="S39" s="25">
        <v>11.26136</v>
      </c>
      <c r="T39" s="22">
        <v>6</v>
      </c>
      <c r="U39" s="22">
        <v>0</v>
      </c>
      <c r="V39" s="11">
        <v>518.07508950447993</v>
      </c>
      <c r="W39" s="22">
        <v>1</v>
      </c>
      <c r="X39" s="22">
        <v>1</v>
      </c>
      <c r="Y39" s="22" t="s">
        <v>370</v>
      </c>
      <c r="AA39" t="s">
        <v>199</v>
      </c>
      <c r="AB39" s="22">
        <v>1</v>
      </c>
      <c r="AC39" t="s">
        <v>223</v>
      </c>
      <c r="AD39" t="s">
        <v>222</v>
      </c>
      <c r="AE39" s="25">
        <v>5130.0000000000009</v>
      </c>
      <c r="AF39" s="25">
        <v>2050.0425402279943</v>
      </c>
      <c r="AG39">
        <v>2</v>
      </c>
      <c r="AH39">
        <v>1</v>
      </c>
      <c r="AK39" s="25">
        <v>0.53820198186538548</v>
      </c>
      <c r="AL39" s="25">
        <v>6.1756439072042847E-2</v>
      </c>
      <c r="AM39" s="25">
        <v>7</v>
      </c>
      <c r="AN39">
        <v>1.17</v>
      </c>
      <c r="AO39">
        <v>0.13</v>
      </c>
      <c r="AP39">
        <v>6</v>
      </c>
      <c r="AQ39">
        <v>0</v>
      </c>
      <c r="AR39">
        <v>0</v>
      </c>
      <c r="AS39">
        <v>0</v>
      </c>
      <c r="AT39" t="b">
        <v>0</v>
      </c>
      <c r="AU39" t="b">
        <v>0</v>
      </c>
      <c r="AV39">
        <v>2</v>
      </c>
      <c r="AW39" s="22" t="b">
        <v>1</v>
      </c>
      <c r="AX39" s="22" t="b">
        <v>0</v>
      </c>
      <c r="AY39" s="22">
        <v>110</v>
      </c>
      <c r="AZ39" s="22">
        <v>410</v>
      </c>
      <c r="BA39" s="30">
        <v>5135.5805743061301</v>
      </c>
      <c r="BB39" s="35">
        <v>1931.5218415194906</v>
      </c>
      <c r="BC39" s="25"/>
      <c r="BD39" s="25">
        <v>35.631287788802275</v>
      </c>
      <c r="BE39" s="25"/>
    </row>
    <row r="40" spans="1:57" x14ac:dyDescent="0.25">
      <c r="A40" t="s">
        <v>262</v>
      </c>
      <c r="B40" t="s">
        <v>370</v>
      </c>
      <c r="C40">
        <v>5</v>
      </c>
      <c r="D40">
        <v>1</v>
      </c>
      <c r="E40" t="s">
        <v>34</v>
      </c>
      <c r="F40" t="s">
        <v>409</v>
      </c>
      <c r="G40">
        <v>1</v>
      </c>
      <c r="H40">
        <v>1</v>
      </c>
      <c r="I40" s="25">
        <v>4.7200000000000006</v>
      </c>
      <c r="J40">
        <v>26.000000000000021</v>
      </c>
      <c r="K40">
        <v>26</v>
      </c>
      <c r="L40">
        <v>26</v>
      </c>
      <c r="M40">
        <v>1200.0000476837158</v>
      </c>
      <c r="N40" s="25">
        <v>0.3147928853621344</v>
      </c>
      <c r="O40" s="25">
        <v>6.2958577072426872E-2</v>
      </c>
      <c r="P40" s="25">
        <v>0.33572999999999997</v>
      </c>
      <c r="Q40" s="25">
        <v>6.7145999999999997E-2</v>
      </c>
      <c r="R40" s="25">
        <v>56.306800000000003</v>
      </c>
      <c r="S40" s="25">
        <v>11.26136</v>
      </c>
      <c r="T40" s="22">
        <v>6</v>
      </c>
      <c r="U40" s="22">
        <v>0</v>
      </c>
      <c r="V40" s="11">
        <v>518.07508950447993</v>
      </c>
      <c r="W40" s="22">
        <v>1</v>
      </c>
      <c r="X40" s="22">
        <v>1</v>
      </c>
      <c r="Y40" s="22" t="s">
        <v>370</v>
      </c>
      <c r="AA40" t="s">
        <v>199</v>
      </c>
      <c r="AB40" s="22">
        <v>1</v>
      </c>
      <c r="AC40" t="s">
        <v>223</v>
      </c>
      <c r="AD40" t="s">
        <v>222</v>
      </c>
      <c r="AE40" s="25">
        <v>5130.0000000000009</v>
      </c>
      <c r="AF40" s="25">
        <v>2050.0425402279943</v>
      </c>
      <c r="AG40">
        <v>2</v>
      </c>
      <c r="AH40">
        <v>1</v>
      </c>
      <c r="AK40" s="25">
        <v>0.53820198186538548</v>
      </c>
      <c r="AL40" s="25">
        <v>6.1756439072042847E-2</v>
      </c>
      <c r="AM40" s="25">
        <v>7</v>
      </c>
      <c r="AN40">
        <v>1.17</v>
      </c>
      <c r="AO40">
        <v>0.13</v>
      </c>
      <c r="AP40">
        <v>6</v>
      </c>
      <c r="AQ40">
        <v>0</v>
      </c>
      <c r="AR40">
        <v>0</v>
      </c>
      <c r="AS40">
        <v>0</v>
      </c>
      <c r="AT40" t="b">
        <v>0</v>
      </c>
      <c r="AU40" t="b">
        <v>0</v>
      </c>
      <c r="AV40">
        <v>2</v>
      </c>
      <c r="AW40" s="22" t="b">
        <v>1</v>
      </c>
      <c r="AX40" s="22" t="b">
        <v>0</v>
      </c>
      <c r="AY40" s="22">
        <v>110</v>
      </c>
      <c r="AZ40" s="22">
        <v>410</v>
      </c>
      <c r="BA40" s="30">
        <v>5135.5805743061301</v>
      </c>
      <c r="BB40" s="35">
        <v>1931.5218415194906</v>
      </c>
      <c r="BC40" s="25"/>
      <c r="BD40" s="25">
        <v>35.631287788802275</v>
      </c>
      <c r="BE40" s="25"/>
    </row>
    <row r="41" spans="1:57" x14ac:dyDescent="0.25">
      <c r="A41" t="s">
        <v>263</v>
      </c>
      <c r="B41" t="s">
        <v>370</v>
      </c>
      <c r="C41">
        <v>5</v>
      </c>
      <c r="D41">
        <v>1</v>
      </c>
      <c r="E41" t="s">
        <v>34</v>
      </c>
      <c r="F41" t="s">
        <v>409</v>
      </c>
      <c r="G41">
        <v>1</v>
      </c>
      <c r="H41">
        <v>1</v>
      </c>
      <c r="I41" s="25">
        <v>4.7200000000000006</v>
      </c>
      <c r="J41">
        <v>26.000000000000021</v>
      </c>
      <c r="K41">
        <v>26</v>
      </c>
      <c r="L41">
        <v>26</v>
      </c>
      <c r="M41">
        <v>1200.0000476837158</v>
      </c>
      <c r="N41" s="25">
        <v>0.3147928853621344</v>
      </c>
      <c r="O41" s="25">
        <v>6.2958577072426872E-2</v>
      </c>
      <c r="P41" s="25">
        <v>0.33572999999999997</v>
      </c>
      <c r="Q41" s="25">
        <v>6.7145999999999997E-2</v>
      </c>
      <c r="R41" s="25">
        <v>56.306800000000003</v>
      </c>
      <c r="S41" s="25">
        <v>11.26136</v>
      </c>
      <c r="T41" s="22">
        <v>6</v>
      </c>
      <c r="U41" s="22">
        <v>0</v>
      </c>
      <c r="V41" s="11">
        <v>518.07508950447993</v>
      </c>
      <c r="W41" s="22">
        <v>1</v>
      </c>
      <c r="X41" s="22">
        <v>1</v>
      </c>
      <c r="Y41" s="22" t="s">
        <v>370</v>
      </c>
      <c r="AA41" t="s">
        <v>199</v>
      </c>
      <c r="AB41" s="22">
        <v>1</v>
      </c>
      <c r="AC41" t="s">
        <v>223</v>
      </c>
      <c r="AD41" t="s">
        <v>222</v>
      </c>
      <c r="AE41" s="25">
        <v>5130.0000000000009</v>
      </c>
      <c r="AF41" s="25">
        <v>2050.0425402279943</v>
      </c>
      <c r="AG41">
        <v>2</v>
      </c>
      <c r="AH41">
        <v>1</v>
      </c>
      <c r="AK41" s="25">
        <v>0.53820198186538548</v>
      </c>
      <c r="AL41" s="25">
        <v>6.1756439072042847E-2</v>
      </c>
      <c r="AM41" s="25">
        <v>7</v>
      </c>
      <c r="AN41">
        <v>1.17</v>
      </c>
      <c r="AO41">
        <v>0.13</v>
      </c>
      <c r="AP41">
        <v>6</v>
      </c>
      <c r="AQ41">
        <v>0</v>
      </c>
      <c r="AR41">
        <v>0</v>
      </c>
      <c r="AS41">
        <v>0</v>
      </c>
      <c r="AT41" t="b">
        <v>0</v>
      </c>
      <c r="AU41" t="b">
        <v>0</v>
      </c>
      <c r="AV41">
        <v>2</v>
      </c>
      <c r="AW41" s="22" t="b">
        <v>1</v>
      </c>
      <c r="AX41" s="22" t="b">
        <v>0</v>
      </c>
      <c r="AY41" s="22">
        <v>110</v>
      </c>
      <c r="AZ41" s="22">
        <v>410</v>
      </c>
      <c r="BA41" s="30">
        <v>5135.5805743061301</v>
      </c>
      <c r="BB41" s="35">
        <v>1931.5218415194906</v>
      </c>
      <c r="BC41" s="25"/>
      <c r="BD41" s="25">
        <v>35.631287788802275</v>
      </c>
      <c r="BE41" s="25"/>
    </row>
    <row r="42" spans="1:57" x14ac:dyDescent="0.25">
      <c r="A42" t="s">
        <v>264</v>
      </c>
      <c r="B42" t="s">
        <v>371</v>
      </c>
      <c r="C42">
        <v>8</v>
      </c>
      <c r="D42">
        <v>1</v>
      </c>
      <c r="E42" t="s">
        <v>34</v>
      </c>
      <c r="F42" t="s">
        <v>409</v>
      </c>
      <c r="G42">
        <v>1</v>
      </c>
      <c r="H42">
        <v>1</v>
      </c>
      <c r="I42" s="25">
        <v>5.0199999999999996</v>
      </c>
      <c r="J42">
        <v>12.499999999999993</v>
      </c>
      <c r="K42">
        <v>12.5</v>
      </c>
      <c r="M42">
        <v>1143.4285714285718</v>
      </c>
      <c r="N42" s="25">
        <v>0.47438906053201496</v>
      </c>
      <c r="O42" s="25">
        <v>5.929863256650187E-2</v>
      </c>
      <c r="P42" s="25">
        <v>0.51983999999999997</v>
      </c>
      <c r="Q42" s="25">
        <v>6.4979999999999996E-2</v>
      </c>
      <c r="R42" s="25">
        <v>93.130879999999991</v>
      </c>
      <c r="S42" s="25">
        <v>11.641359999999999</v>
      </c>
      <c r="T42" s="22">
        <v>6</v>
      </c>
      <c r="U42" s="22">
        <v>0</v>
      </c>
      <c r="V42" s="11">
        <v>502.04380971269069</v>
      </c>
      <c r="W42" s="22">
        <v>1</v>
      </c>
      <c r="X42" s="22">
        <v>1</v>
      </c>
      <c r="Y42" s="22" t="s">
        <v>371</v>
      </c>
      <c r="AB42" s="22">
        <v>1</v>
      </c>
      <c r="AC42" t="s">
        <v>223</v>
      </c>
      <c r="AD42" t="s">
        <v>222</v>
      </c>
      <c r="AE42" s="25">
        <v>5430</v>
      </c>
      <c r="AF42" s="25">
        <v>1293.1106313485652</v>
      </c>
      <c r="AG42">
        <v>1</v>
      </c>
      <c r="AH42">
        <v>1</v>
      </c>
      <c r="AK42" s="25">
        <v>0.48299999999999998</v>
      </c>
      <c r="AL42" s="25">
        <v>5.523767966308564E-2</v>
      </c>
      <c r="AM42" s="25">
        <v>6</v>
      </c>
      <c r="AN42">
        <v>0.93</v>
      </c>
      <c r="AO42">
        <v>0.12</v>
      </c>
      <c r="AP42">
        <v>6</v>
      </c>
      <c r="AQ42">
        <v>0</v>
      </c>
      <c r="AR42">
        <v>0</v>
      </c>
      <c r="AS42">
        <v>0</v>
      </c>
      <c r="AT42" t="b">
        <v>0</v>
      </c>
      <c r="AU42" t="b">
        <v>0</v>
      </c>
      <c r="AV42">
        <v>2</v>
      </c>
      <c r="AW42" s="22" t="b">
        <v>0</v>
      </c>
      <c r="AX42" s="22" t="b">
        <v>1</v>
      </c>
      <c r="AY42" s="22">
        <v>410</v>
      </c>
      <c r="AZ42" s="22">
        <v>110</v>
      </c>
      <c r="BA42" s="30">
        <v>5473.7751237063785</v>
      </c>
      <c r="BB42" s="35">
        <v>1237.6912581074068</v>
      </c>
      <c r="BC42" s="25"/>
      <c r="BD42" s="25">
        <v>33.599850637841719</v>
      </c>
      <c r="BE42" s="25"/>
    </row>
    <row r="43" spans="1:57" x14ac:dyDescent="0.25">
      <c r="A43" t="s">
        <v>265</v>
      </c>
      <c r="B43" t="s">
        <v>371</v>
      </c>
      <c r="C43">
        <v>8</v>
      </c>
      <c r="D43">
        <v>1</v>
      </c>
      <c r="E43" t="s">
        <v>34</v>
      </c>
      <c r="F43" t="s">
        <v>409</v>
      </c>
      <c r="G43">
        <v>1</v>
      </c>
      <c r="H43">
        <v>1</v>
      </c>
      <c r="I43" s="25">
        <v>5.0199999999999996</v>
      </c>
      <c r="J43">
        <v>12.499999999999993</v>
      </c>
      <c r="K43">
        <v>12.5</v>
      </c>
      <c r="M43">
        <v>1143.4285714285718</v>
      </c>
      <c r="N43" s="25">
        <v>0.47438906053201496</v>
      </c>
      <c r="O43" s="25">
        <v>5.929863256650187E-2</v>
      </c>
      <c r="P43" s="25">
        <v>0.51983999999999997</v>
      </c>
      <c r="Q43" s="25">
        <v>6.4979999999999996E-2</v>
      </c>
      <c r="R43" s="25">
        <v>93.130879999999991</v>
      </c>
      <c r="S43" s="25">
        <v>11.641359999999999</v>
      </c>
      <c r="T43" s="22">
        <v>6</v>
      </c>
      <c r="U43" s="22">
        <v>0</v>
      </c>
      <c r="V43" s="11">
        <v>502.04380971269069</v>
      </c>
      <c r="W43" s="22">
        <v>1</v>
      </c>
      <c r="X43" s="22">
        <v>1</v>
      </c>
      <c r="Y43" s="22" t="s">
        <v>371</v>
      </c>
      <c r="AB43" s="22">
        <v>1</v>
      </c>
      <c r="AC43" t="s">
        <v>223</v>
      </c>
      <c r="AD43" t="s">
        <v>222</v>
      </c>
      <c r="AE43" s="25">
        <v>5430</v>
      </c>
      <c r="AF43" s="25">
        <v>1293.1106313485652</v>
      </c>
      <c r="AG43">
        <v>1</v>
      </c>
      <c r="AH43">
        <v>1</v>
      </c>
      <c r="AK43" s="25">
        <v>0.48299999999999998</v>
      </c>
      <c r="AL43" s="25">
        <v>5.523767966308564E-2</v>
      </c>
      <c r="AM43" s="25">
        <v>6</v>
      </c>
      <c r="AN43">
        <v>0.93</v>
      </c>
      <c r="AO43">
        <v>0.12</v>
      </c>
      <c r="AP43">
        <v>6</v>
      </c>
      <c r="AQ43">
        <v>0</v>
      </c>
      <c r="AR43">
        <v>0</v>
      </c>
      <c r="AS43">
        <v>0</v>
      </c>
      <c r="AT43" t="b">
        <v>0</v>
      </c>
      <c r="AU43" t="b">
        <v>0</v>
      </c>
      <c r="AV43">
        <v>2</v>
      </c>
      <c r="AW43" s="22" t="b">
        <v>0</v>
      </c>
      <c r="AX43" s="22" t="b">
        <v>1</v>
      </c>
      <c r="AY43" s="22">
        <v>410</v>
      </c>
      <c r="AZ43" s="22">
        <v>110</v>
      </c>
      <c r="BA43" s="30">
        <v>5473.7751237063785</v>
      </c>
      <c r="BB43" s="35">
        <v>1237.6912581074068</v>
      </c>
      <c r="BC43" s="25"/>
      <c r="BD43" s="25">
        <v>33.599850637841719</v>
      </c>
      <c r="BE43" s="25"/>
    </row>
    <row r="44" spans="1:57" x14ac:dyDescent="0.25">
      <c r="A44" t="s">
        <v>266</v>
      </c>
      <c r="B44" t="s">
        <v>371</v>
      </c>
      <c r="C44">
        <v>8</v>
      </c>
      <c r="D44">
        <v>1</v>
      </c>
      <c r="E44" t="s">
        <v>34</v>
      </c>
      <c r="F44" t="s">
        <v>409</v>
      </c>
      <c r="G44">
        <v>1</v>
      </c>
      <c r="H44">
        <v>1</v>
      </c>
      <c r="I44" s="25">
        <v>5.0199999999999996</v>
      </c>
      <c r="J44">
        <v>12.499999999999993</v>
      </c>
      <c r="K44">
        <v>12.5</v>
      </c>
      <c r="M44">
        <v>1143.4285714285718</v>
      </c>
      <c r="N44" s="25">
        <v>0.47438906053201496</v>
      </c>
      <c r="O44" s="25">
        <v>5.929863256650187E-2</v>
      </c>
      <c r="P44" s="25">
        <v>0.51983999999999997</v>
      </c>
      <c r="Q44" s="25">
        <v>6.4979999999999996E-2</v>
      </c>
      <c r="R44" s="25">
        <v>93.130879999999991</v>
      </c>
      <c r="S44" s="25">
        <v>11.641359999999999</v>
      </c>
      <c r="T44" s="22">
        <v>6</v>
      </c>
      <c r="U44" s="22">
        <v>0</v>
      </c>
      <c r="V44" s="11">
        <v>502.04380971269069</v>
      </c>
      <c r="W44" s="22">
        <v>1</v>
      </c>
      <c r="X44" s="22">
        <v>1</v>
      </c>
      <c r="Y44" s="22" t="s">
        <v>371</v>
      </c>
      <c r="AB44" s="22">
        <v>1</v>
      </c>
      <c r="AC44" t="s">
        <v>223</v>
      </c>
      <c r="AD44" t="s">
        <v>222</v>
      </c>
      <c r="AE44" s="25">
        <v>5430</v>
      </c>
      <c r="AF44" s="25">
        <v>1293.1106313485652</v>
      </c>
      <c r="AG44">
        <v>1</v>
      </c>
      <c r="AH44">
        <v>1</v>
      </c>
      <c r="AK44" s="25">
        <v>0.48299999999999998</v>
      </c>
      <c r="AL44" s="25">
        <v>5.523767966308564E-2</v>
      </c>
      <c r="AM44" s="25">
        <v>6</v>
      </c>
      <c r="AN44">
        <v>0.93</v>
      </c>
      <c r="AO44">
        <v>0.12</v>
      </c>
      <c r="AP44">
        <v>6</v>
      </c>
      <c r="AQ44">
        <v>0</v>
      </c>
      <c r="AR44">
        <v>0</v>
      </c>
      <c r="AS44">
        <v>0</v>
      </c>
      <c r="AT44" t="b">
        <v>0</v>
      </c>
      <c r="AU44" t="b">
        <v>0</v>
      </c>
      <c r="AV44">
        <v>2</v>
      </c>
      <c r="AW44" s="22" t="b">
        <v>0</v>
      </c>
      <c r="AX44" s="22" t="b">
        <v>1</v>
      </c>
      <c r="AY44" s="22">
        <v>410</v>
      </c>
      <c r="AZ44" s="22">
        <v>110</v>
      </c>
      <c r="BA44" s="30">
        <v>5473.7751237063785</v>
      </c>
      <c r="BB44" s="35">
        <v>1237.6912581074068</v>
      </c>
      <c r="BC44" s="25"/>
      <c r="BD44" s="25">
        <v>33.599850637841719</v>
      </c>
      <c r="BE44" s="25"/>
    </row>
    <row r="45" spans="1:57" x14ac:dyDescent="0.25">
      <c r="A45" t="s">
        <v>267</v>
      </c>
      <c r="B45" t="s">
        <v>371</v>
      </c>
      <c r="C45">
        <v>8</v>
      </c>
      <c r="D45">
        <v>1</v>
      </c>
      <c r="E45" t="s">
        <v>34</v>
      </c>
      <c r="F45" t="s">
        <v>409</v>
      </c>
      <c r="G45">
        <v>1</v>
      </c>
      <c r="H45">
        <v>1</v>
      </c>
      <c r="I45" s="25">
        <v>5.0199999999999996</v>
      </c>
      <c r="J45">
        <v>12.499999999999993</v>
      </c>
      <c r="K45">
        <v>12.5</v>
      </c>
      <c r="M45">
        <v>1143.4285714285718</v>
      </c>
      <c r="N45" s="25">
        <v>0.47438906053201496</v>
      </c>
      <c r="O45" s="25">
        <v>5.929863256650187E-2</v>
      </c>
      <c r="P45" s="25">
        <v>0.51983999999999997</v>
      </c>
      <c r="Q45" s="25">
        <v>6.4979999999999996E-2</v>
      </c>
      <c r="R45" s="25">
        <v>93.130879999999991</v>
      </c>
      <c r="S45" s="25">
        <v>11.641359999999999</v>
      </c>
      <c r="T45" s="22">
        <v>6</v>
      </c>
      <c r="U45" s="22">
        <v>0</v>
      </c>
      <c r="V45" s="11">
        <v>502.04380971269069</v>
      </c>
      <c r="W45" s="22">
        <v>1</v>
      </c>
      <c r="X45" s="22">
        <v>1</v>
      </c>
      <c r="Y45" s="22" t="s">
        <v>371</v>
      </c>
      <c r="AB45" s="22">
        <v>1</v>
      </c>
      <c r="AC45" t="s">
        <v>223</v>
      </c>
      <c r="AD45" t="s">
        <v>222</v>
      </c>
      <c r="AE45" s="25">
        <v>5430</v>
      </c>
      <c r="AF45" s="25">
        <v>1293.1106313485652</v>
      </c>
      <c r="AG45">
        <v>1</v>
      </c>
      <c r="AH45">
        <v>1</v>
      </c>
      <c r="AK45" s="25">
        <v>0.48299999999999998</v>
      </c>
      <c r="AL45" s="25">
        <v>5.523767966308564E-2</v>
      </c>
      <c r="AM45" s="25">
        <v>6</v>
      </c>
      <c r="AN45">
        <v>0.93</v>
      </c>
      <c r="AO45">
        <v>0.12</v>
      </c>
      <c r="AP45">
        <v>6</v>
      </c>
      <c r="AQ45">
        <v>0</v>
      </c>
      <c r="AR45">
        <v>0</v>
      </c>
      <c r="AS45">
        <v>0</v>
      </c>
      <c r="AT45" t="b">
        <v>0</v>
      </c>
      <c r="AU45" t="b">
        <v>0</v>
      </c>
      <c r="AV45">
        <v>2</v>
      </c>
      <c r="AW45" s="22" t="b">
        <v>0</v>
      </c>
      <c r="AX45" s="22" t="b">
        <v>1</v>
      </c>
      <c r="AY45" s="22">
        <v>410</v>
      </c>
      <c r="AZ45" s="22">
        <v>110</v>
      </c>
      <c r="BA45" s="30">
        <v>5473.7751237063785</v>
      </c>
      <c r="BB45" s="35">
        <v>1237.6912581074068</v>
      </c>
      <c r="BC45" s="25"/>
      <c r="BD45" s="25">
        <v>33.599850637841719</v>
      </c>
      <c r="BE45" s="25"/>
    </row>
    <row r="46" spans="1:57" x14ac:dyDescent="0.25">
      <c r="A46" t="s">
        <v>268</v>
      </c>
      <c r="B46" t="s">
        <v>371</v>
      </c>
      <c r="C46">
        <v>8</v>
      </c>
      <c r="D46">
        <v>1</v>
      </c>
      <c r="E46" t="s">
        <v>34</v>
      </c>
      <c r="F46" t="s">
        <v>409</v>
      </c>
      <c r="G46">
        <v>1</v>
      </c>
      <c r="H46">
        <v>1</v>
      </c>
      <c r="I46" s="25">
        <v>5.0199999999999996</v>
      </c>
      <c r="J46">
        <v>12.499999999999993</v>
      </c>
      <c r="K46">
        <v>12.5</v>
      </c>
      <c r="M46">
        <v>1143.4285714285718</v>
      </c>
      <c r="N46" s="25">
        <v>0.47438906053201496</v>
      </c>
      <c r="O46" s="25">
        <v>5.929863256650187E-2</v>
      </c>
      <c r="P46" s="25">
        <v>0.51983999999999997</v>
      </c>
      <c r="Q46" s="25">
        <v>6.4979999999999996E-2</v>
      </c>
      <c r="R46" s="25">
        <v>93.130879999999991</v>
      </c>
      <c r="S46" s="25">
        <v>11.641359999999999</v>
      </c>
      <c r="T46" s="22">
        <v>6</v>
      </c>
      <c r="U46" s="22">
        <v>0</v>
      </c>
      <c r="V46" s="11">
        <v>502.04380971269069</v>
      </c>
      <c r="W46" s="22">
        <v>1</v>
      </c>
      <c r="X46" s="22">
        <v>1</v>
      </c>
      <c r="Y46" s="22" t="s">
        <v>371</v>
      </c>
      <c r="AB46" s="22">
        <v>1</v>
      </c>
      <c r="AC46" t="s">
        <v>223</v>
      </c>
      <c r="AD46" t="s">
        <v>222</v>
      </c>
      <c r="AE46" s="25">
        <v>5430</v>
      </c>
      <c r="AF46" s="25">
        <v>1293.1106313485652</v>
      </c>
      <c r="AG46">
        <v>1</v>
      </c>
      <c r="AH46">
        <v>1</v>
      </c>
      <c r="AK46" s="25">
        <v>0.48299999999999998</v>
      </c>
      <c r="AL46" s="25">
        <v>5.523767966308564E-2</v>
      </c>
      <c r="AM46" s="25">
        <v>6</v>
      </c>
      <c r="AN46">
        <v>0.93</v>
      </c>
      <c r="AO46">
        <v>0.12</v>
      </c>
      <c r="AP46">
        <v>6</v>
      </c>
      <c r="AQ46">
        <v>0</v>
      </c>
      <c r="AR46">
        <v>0</v>
      </c>
      <c r="AS46">
        <v>0</v>
      </c>
      <c r="AT46" t="b">
        <v>0</v>
      </c>
      <c r="AU46" t="b">
        <v>0</v>
      </c>
      <c r="AV46">
        <v>2</v>
      </c>
      <c r="AW46" s="22" t="b">
        <v>0</v>
      </c>
      <c r="AX46" s="22" t="b">
        <v>1</v>
      </c>
      <c r="AY46" s="22">
        <v>410</v>
      </c>
      <c r="AZ46" s="22">
        <v>110</v>
      </c>
      <c r="BA46" s="30">
        <v>5473.7751237063785</v>
      </c>
      <c r="BB46" s="35">
        <v>1237.6912581074068</v>
      </c>
      <c r="BC46" s="25"/>
      <c r="BD46" s="25">
        <v>33.599850637841719</v>
      </c>
      <c r="BE46" s="25"/>
    </row>
    <row r="47" spans="1:57" x14ac:dyDescent="0.25">
      <c r="A47" t="s">
        <v>269</v>
      </c>
      <c r="B47" t="s">
        <v>371</v>
      </c>
      <c r="C47">
        <v>8</v>
      </c>
      <c r="D47">
        <v>1</v>
      </c>
      <c r="E47" t="s">
        <v>34</v>
      </c>
      <c r="F47" t="s">
        <v>409</v>
      </c>
      <c r="G47">
        <v>1</v>
      </c>
      <c r="H47">
        <v>1</v>
      </c>
      <c r="I47" s="25">
        <v>5.0199999999999996</v>
      </c>
      <c r="J47">
        <v>12.499999999999993</v>
      </c>
      <c r="K47">
        <v>12.5</v>
      </c>
      <c r="M47">
        <v>1143.4285714285718</v>
      </c>
      <c r="N47" s="25">
        <v>0.47438906053201496</v>
      </c>
      <c r="O47" s="25">
        <v>5.929863256650187E-2</v>
      </c>
      <c r="P47" s="25">
        <v>0.51983999999999997</v>
      </c>
      <c r="Q47" s="25">
        <v>6.4979999999999996E-2</v>
      </c>
      <c r="R47" s="25">
        <v>93.130879999999991</v>
      </c>
      <c r="S47" s="25">
        <v>11.641359999999999</v>
      </c>
      <c r="T47" s="22">
        <v>6</v>
      </c>
      <c r="U47" s="22">
        <v>0</v>
      </c>
      <c r="V47" s="11">
        <v>502.04380971269069</v>
      </c>
      <c r="W47" s="22">
        <v>1</v>
      </c>
      <c r="X47" s="22">
        <v>1</v>
      </c>
      <c r="Y47" s="22" t="s">
        <v>371</v>
      </c>
      <c r="AB47" s="22">
        <v>1</v>
      </c>
      <c r="AC47" t="s">
        <v>223</v>
      </c>
      <c r="AD47" t="s">
        <v>222</v>
      </c>
      <c r="AE47" s="25">
        <v>5430</v>
      </c>
      <c r="AF47" s="25">
        <v>1293.1106313485652</v>
      </c>
      <c r="AG47">
        <v>1</v>
      </c>
      <c r="AH47">
        <v>1</v>
      </c>
      <c r="AK47" s="25">
        <v>0.48299999999999998</v>
      </c>
      <c r="AL47" s="25">
        <v>5.523767966308564E-2</v>
      </c>
      <c r="AM47" s="25">
        <v>6</v>
      </c>
      <c r="AN47">
        <v>0.93</v>
      </c>
      <c r="AO47">
        <v>0.12</v>
      </c>
      <c r="AP47">
        <v>6</v>
      </c>
      <c r="AQ47">
        <v>0</v>
      </c>
      <c r="AR47">
        <v>0</v>
      </c>
      <c r="AS47">
        <v>0</v>
      </c>
      <c r="AT47" t="b">
        <v>0</v>
      </c>
      <c r="AU47" t="b">
        <v>0</v>
      </c>
      <c r="AV47">
        <v>2</v>
      </c>
      <c r="AW47" s="22" t="b">
        <v>0</v>
      </c>
      <c r="AX47" s="22" t="b">
        <v>1</v>
      </c>
      <c r="AY47" s="22">
        <v>410</v>
      </c>
      <c r="AZ47" s="22">
        <v>110</v>
      </c>
      <c r="BA47" s="30">
        <v>5473.7751237063785</v>
      </c>
      <c r="BB47" s="35">
        <v>1237.6912581074068</v>
      </c>
      <c r="BC47" s="25"/>
      <c r="BD47" s="25">
        <v>33.599850637841719</v>
      </c>
      <c r="BE47" s="25"/>
    </row>
    <row r="48" spans="1:57" x14ac:dyDescent="0.25">
      <c r="A48" t="s">
        <v>270</v>
      </c>
      <c r="B48" t="s">
        <v>371</v>
      </c>
      <c r="C48">
        <v>8</v>
      </c>
      <c r="D48">
        <v>1</v>
      </c>
      <c r="E48" t="s">
        <v>34</v>
      </c>
      <c r="F48" t="s">
        <v>409</v>
      </c>
      <c r="G48">
        <v>1</v>
      </c>
      <c r="H48">
        <v>1</v>
      </c>
      <c r="I48" s="25">
        <v>5.0199999999999996</v>
      </c>
      <c r="J48">
        <v>12.499999999999993</v>
      </c>
      <c r="K48">
        <v>12.5</v>
      </c>
      <c r="M48">
        <v>1143.4285714285718</v>
      </c>
      <c r="N48" s="25">
        <v>0.47438906053201496</v>
      </c>
      <c r="O48" s="25">
        <v>5.929863256650187E-2</v>
      </c>
      <c r="P48" s="25">
        <v>0.51983999999999997</v>
      </c>
      <c r="Q48" s="25">
        <v>6.4979999999999996E-2</v>
      </c>
      <c r="R48" s="25">
        <v>93.130879999999991</v>
      </c>
      <c r="S48" s="25">
        <v>11.641359999999999</v>
      </c>
      <c r="T48" s="22">
        <v>6</v>
      </c>
      <c r="U48" s="22">
        <v>0</v>
      </c>
      <c r="V48" s="11">
        <v>502.04380971269069</v>
      </c>
      <c r="W48" s="22">
        <v>1</v>
      </c>
      <c r="X48" s="22">
        <v>1</v>
      </c>
      <c r="Y48" s="22" t="s">
        <v>371</v>
      </c>
      <c r="AB48" s="22">
        <v>1</v>
      </c>
      <c r="AC48" t="s">
        <v>223</v>
      </c>
      <c r="AD48" t="s">
        <v>222</v>
      </c>
      <c r="AE48" s="25">
        <v>5430</v>
      </c>
      <c r="AF48" s="25">
        <v>1293.1106313485652</v>
      </c>
      <c r="AG48">
        <v>1</v>
      </c>
      <c r="AH48">
        <v>1</v>
      </c>
      <c r="AK48" s="25">
        <v>0.48299999999999998</v>
      </c>
      <c r="AL48" s="25">
        <v>5.523767966308564E-2</v>
      </c>
      <c r="AM48" s="25">
        <v>6</v>
      </c>
      <c r="AN48">
        <v>0.93</v>
      </c>
      <c r="AO48">
        <v>0.12</v>
      </c>
      <c r="AP48">
        <v>6</v>
      </c>
      <c r="AQ48">
        <v>0</v>
      </c>
      <c r="AR48">
        <v>0</v>
      </c>
      <c r="AS48">
        <v>0</v>
      </c>
      <c r="AT48" t="b">
        <v>0</v>
      </c>
      <c r="AU48" t="b">
        <v>0</v>
      </c>
      <c r="AV48">
        <v>2</v>
      </c>
      <c r="AW48" s="22" t="b">
        <v>0</v>
      </c>
      <c r="AX48" s="22" t="b">
        <v>1</v>
      </c>
      <c r="AY48" s="22">
        <v>410</v>
      </c>
      <c r="AZ48" s="22">
        <v>110</v>
      </c>
      <c r="BA48" s="30">
        <v>5473.7751237063785</v>
      </c>
      <c r="BB48" s="35">
        <v>1237.6912581074068</v>
      </c>
      <c r="BC48" s="25"/>
      <c r="BD48" s="25">
        <v>33.599850637841719</v>
      </c>
      <c r="BE48" s="25"/>
    </row>
    <row r="49" spans="1:57" x14ac:dyDescent="0.25">
      <c r="A49" t="s">
        <v>271</v>
      </c>
      <c r="B49" t="s">
        <v>371</v>
      </c>
      <c r="C49">
        <v>8</v>
      </c>
      <c r="D49">
        <v>1</v>
      </c>
      <c r="E49" t="s">
        <v>34</v>
      </c>
      <c r="F49" t="s">
        <v>409</v>
      </c>
      <c r="G49">
        <v>1</v>
      </c>
      <c r="H49">
        <v>1</v>
      </c>
      <c r="I49" s="25">
        <v>5.0199999999999996</v>
      </c>
      <c r="J49">
        <v>12.499999999999993</v>
      </c>
      <c r="K49">
        <v>12.5</v>
      </c>
      <c r="M49">
        <v>1143.4285714285718</v>
      </c>
      <c r="N49" s="25">
        <v>0.47438906053201496</v>
      </c>
      <c r="O49" s="25">
        <v>5.929863256650187E-2</v>
      </c>
      <c r="P49" s="25">
        <v>0.51983999999999997</v>
      </c>
      <c r="Q49" s="25">
        <v>6.4979999999999996E-2</v>
      </c>
      <c r="R49" s="25">
        <v>93.130879999999991</v>
      </c>
      <c r="S49" s="25">
        <v>11.641359999999999</v>
      </c>
      <c r="T49" s="22">
        <v>6</v>
      </c>
      <c r="U49" s="22">
        <v>0</v>
      </c>
      <c r="V49" s="11">
        <v>502.04380971269069</v>
      </c>
      <c r="W49" s="22">
        <v>1</v>
      </c>
      <c r="X49" s="22">
        <v>1</v>
      </c>
      <c r="Y49" s="22" t="s">
        <v>371</v>
      </c>
      <c r="AB49" s="22">
        <v>1</v>
      </c>
      <c r="AC49" t="s">
        <v>223</v>
      </c>
      <c r="AD49" t="s">
        <v>222</v>
      </c>
      <c r="AE49" s="25">
        <v>5430</v>
      </c>
      <c r="AF49" s="25">
        <v>1293.1106313485652</v>
      </c>
      <c r="AG49">
        <v>1</v>
      </c>
      <c r="AH49">
        <v>1</v>
      </c>
      <c r="AK49" s="25">
        <v>0.48299999999999998</v>
      </c>
      <c r="AL49" s="25">
        <v>5.523767966308564E-2</v>
      </c>
      <c r="AM49" s="25">
        <v>6</v>
      </c>
      <c r="AN49">
        <v>0.93</v>
      </c>
      <c r="AO49">
        <v>0.12</v>
      </c>
      <c r="AP49">
        <v>6</v>
      </c>
      <c r="AQ49">
        <v>0</v>
      </c>
      <c r="AR49">
        <v>0</v>
      </c>
      <c r="AS49">
        <v>0</v>
      </c>
      <c r="AT49" t="b">
        <v>0</v>
      </c>
      <c r="AU49" t="b">
        <v>0</v>
      </c>
      <c r="AV49">
        <v>2</v>
      </c>
      <c r="AW49" s="22" t="b">
        <v>0</v>
      </c>
      <c r="AX49" s="22" t="b">
        <v>1</v>
      </c>
      <c r="AY49" s="22">
        <v>410</v>
      </c>
      <c r="AZ49" s="22">
        <v>110</v>
      </c>
      <c r="BA49" s="30">
        <v>5473.7751237063785</v>
      </c>
      <c r="BB49" s="35">
        <v>1237.6912581074068</v>
      </c>
      <c r="BC49" s="25"/>
      <c r="BD49" s="25">
        <v>33.599850637841719</v>
      </c>
      <c r="BE49" s="25"/>
    </row>
    <row r="50" spans="1:57" x14ac:dyDescent="0.25">
      <c r="A50" t="s">
        <v>272</v>
      </c>
      <c r="B50" t="s">
        <v>372</v>
      </c>
      <c r="C50">
        <v>7</v>
      </c>
      <c r="D50">
        <v>1</v>
      </c>
      <c r="E50" t="s">
        <v>34</v>
      </c>
      <c r="F50" t="s">
        <v>409</v>
      </c>
      <c r="G50">
        <v>1</v>
      </c>
      <c r="H50">
        <v>1</v>
      </c>
      <c r="I50" s="25">
        <v>3.6500000000000012</v>
      </c>
      <c r="J50">
        <v>12.5</v>
      </c>
      <c r="K50">
        <v>12.5</v>
      </c>
      <c r="M50">
        <v>1142.45703125</v>
      </c>
      <c r="N50" s="25">
        <v>0.29133025890545944</v>
      </c>
      <c r="O50" s="25">
        <v>4.1618608415065636E-2</v>
      </c>
      <c r="P50" s="25">
        <v>0.30850135896920244</v>
      </c>
      <c r="Q50" s="25">
        <v>4.4071622709886064E-2</v>
      </c>
      <c r="R50" s="25">
        <v>59.783919999999995</v>
      </c>
      <c r="S50" s="25">
        <v>8.5405599999999993</v>
      </c>
      <c r="T50" s="22">
        <v>5</v>
      </c>
      <c r="U50" s="22">
        <v>0</v>
      </c>
      <c r="V50" s="11">
        <v>348.0274142565334</v>
      </c>
      <c r="W50" s="22">
        <v>1</v>
      </c>
      <c r="X50" s="22">
        <v>1</v>
      </c>
      <c r="Y50" s="22" t="s">
        <v>372</v>
      </c>
      <c r="AB50" s="22">
        <v>1</v>
      </c>
      <c r="AC50" t="s">
        <v>223</v>
      </c>
      <c r="AD50" t="s">
        <v>222</v>
      </c>
      <c r="AE50" s="25">
        <v>4060</v>
      </c>
      <c r="AF50" s="25">
        <v>989.3889435287565</v>
      </c>
      <c r="AG50">
        <v>1</v>
      </c>
      <c r="AH50">
        <v>1</v>
      </c>
      <c r="AK50" s="25">
        <v>0.36164000000000002</v>
      </c>
      <c r="AL50" s="25">
        <v>4.3455157520864984E-2</v>
      </c>
      <c r="AM50" s="25">
        <v>5</v>
      </c>
      <c r="AN50">
        <v>0.77</v>
      </c>
      <c r="AO50">
        <v>9.9999999999999992E-2</v>
      </c>
      <c r="AP50">
        <v>5</v>
      </c>
      <c r="AQ50">
        <v>0</v>
      </c>
      <c r="AR50">
        <v>0</v>
      </c>
      <c r="AS50">
        <v>0</v>
      </c>
      <c r="AT50" t="b">
        <v>0</v>
      </c>
      <c r="AU50" t="b">
        <v>0</v>
      </c>
      <c r="AV50">
        <v>2</v>
      </c>
      <c r="AW50" s="22" t="b">
        <v>1</v>
      </c>
      <c r="AX50" s="22" t="b">
        <v>0</v>
      </c>
      <c r="AY50" s="22">
        <v>109.99999999999909</v>
      </c>
      <c r="AZ50" s="22">
        <v>409.99999999999864</v>
      </c>
      <c r="BA50" s="30">
        <v>4061.6650647812885</v>
      </c>
      <c r="BB50" s="35">
        <v>940.91109591943655</v>
      </c>
      <c r="BC50" s="25"/>
      <c r="BD50" s="25">
        <v>23.593270818248094</v>
      </c>
      <c r="BE50" s="25"/>
    </row>
    <row r="51" spans="1:57" x14ac:dyDescent="0.25">
      <c r="A51" t="s">
        <v>273</v>
      </c>
      <c r="B51" t="s">
        <v>372</v>
      </c>
      <c r="C51">
        <v>7</v>
      </c>
      <c r="D51">
        <v>1</v>
      </c>
      <c r="E51" t="s">
        <v>34</v>
      </c>
      <c r="F51" t="s">
        <v>409</v>
      </c>
      <c r="G51">
        <v>1</v>
      </c>
      <c r="H51">
        <v>1</v>
      </c>
      <c r="I51" s="25">
        <v>3.6500000000000012</v>
      </c>
      <c r="J51">
        <v>12.5</v>
      </c>
      <c r="K51">
        <v>12.5</v>
      </c>
      <c r="M51">
        <v>1142.45703125</v>
      </c>
      <c r="N51" s="25">
        <v>0.29133025890545944</v>
      </c>
      <c r="O51" s="25">
        <v>4.1618608415065636E-2</v>
      </c>
      <c r="P51" s="25">
        <v>0.30850135896920244</v>
      </c>
      <c r="Q51" s="25">
        <v>4.4071622709886064E-2</v>
      </c>
      <c r="R51" s="25">
        <v>59.783919999999995</v>
      </c>
      <c r="S51" s="25">
        <v>8.5405599999999993</v>
      </c>
      <c r="T51" s="22">
        <v>5</v>
      </c>
      <c r="U51" s="22">
        <v>0</v>
      </c>
      <c r="V51" s="11">
        <v>348.0274142565334</v>
      </c>
      <c r="W51" s="22">
        <v>1</v>
      </c>
      <c r="X51" s="22">
        <v>1</v>
      </c>
      <c r="Y51" s="22" t="s">
        <v>372</v>
      </c>
      <c r="AB51" s="22">
        <v>1</v>
      </c>
      <c r="AC51" t="s">
        <v>223</v>
      </c>
      <c r="AD51" t="s">
        <v>222</v>
      </c>
      <c r="AE51" s="25">
        <v>4060</v>
      </c>
      <c r="AF51" s="25">
        <v>989.3889435287565</v>
      </c>
      <c r="AG51">
        <v>1</v>
      </c>
      <c r="AH51">
        <v>1</v>
      </c>
      <c r="AK51" s="25">
        <v>0.36164000000000002</v>
      </c>
      <c r="AL51" s="25">
        <v>4.3455157520864984E-2</v>
      </c>
      <c r="AM51" s="25">
        <v>5</v>
      </c>
      <c r="AN51">
        <v>0.77</v>
      </c>
      <c r="AO51">
        <v>9.9999999999999992E-2</v>
      </c>
      <c r="AP51">
        <v>5</v>
      </c>
      <c r="AQ51">
        <v>0</v>
      </c>
      <c r="AR51">
        <v>0</v>
      </c>
      <c r="AS51">
        <v>0</v>
      </c>
      <c r="AT51" t="b">
        <v>0</v>
      </c>
      <c r="AU51" t="b">
        <v>0</v>
      </c>
      <c r="AV51">
        <v>2</v>
      </c>
      <c r="AW51" s="22" t="b">
        <v>1</v>
      </c>
      <c r="AX51" s="22" t="b">
        <v>0</v>
      </c>
      <c r="AY51" s="22">
        <v>109.99999999999909</v>
      </c>
      <c r="AZ51" s="22">
        <v>409.99999999999864</v>
      </c>
      <c r="BA51" s="30">
        <v>4061.6650647812885</v>
      </c>
      <c r="BB51" s="35">
        <v>940.91109591943655</v>
      </c>
      <c r="BC51" s="25"/>
      <c r="BD51" s="25">
        <v>23.593270818248094</v>
      </c>
      <c r="BE51" s="25"/>
    </row>
    <row r="52" spans="1:57" x14ac:dyDescent="0.25">
      <c r="A52" t="s">
        <v>274</v>
      </c>
      <c r="B52" t="s">
        <v>372</v>
      </c>
      <c r="C52">
        <v>7</v>
      </c>
      <c r="D52">
        <v>1</v>
      </c>
      <c r="E52" t="s">
        <v>34</v>
      </c>
      <c r="F52" t="s">
        <v>409</v>
      </c>
      <c r="G52">
        <v>1</v>
      </c>
      <c r="H52">
        <v>1</v>
      </c>
      <c r="I52" s="25">
        <v>3.6500000000000012</v>
      </c>
      <c r="J52">
        <v>12.5</v>
      </c>
      <c r="K52">
        <v>12.5</v>
      </c>
      <c r="M52">
        <v>1142.45703125</v>
      </c>
      <c r="N52" s="25">
        <v>0.29133025890545944</v>
      </c>
      <c r="O52" s="25">
        <v>4.1618608415065636E-2</v>
      </c>
      <c r="P52" s="25">
        <v>0.30850135896920244</v>
      </c>
      <c r="Q52" s="25">
        <v>4.4071622709886064E-2</v>
      </c>
      <c r="R52" s="25">
        <v>59.783919999999995</v>
      </c>
      <c r="S52" s="25">
        <v>8.5405599999999993</v>
      </c>
      <c r="T52" s="22">
        <v>5</v>
      </c>
      <c r="U52" s="22">
        <v>0</v>
      </c>
      <c r="V52" s="11">
        <v>348.0274142565334</v>
      </c>
      <c r="W52" s="22">
        <v>1</v>
      </c>
      <c r="X52" s="22">
        <v>1</v>
      </c>
      <c r="Y52" s="22" t="s">
        <v>372</v>
      </c>
      <c r="AB52" s="22">
        <v>1</v>
      </c>
      <c r="AC52" t="s">
        <v>223</v>
      </c>
      <c r="AD52" t="s">
        <v>222</v>
      </c>
      <c r="AE52" s="25">
        <v>4060</v>
      </c>
      <c r="AF52" s="25">
        <v>989.3889435287565</v>
      </c>
      <c r="AG52">
        <v>1</v>
      </c>
      <c r="AH52">
        <v>1</v>
      </c>
      <c r="AK52" s="25">
        <v>0.36164000000000002</v>
      </c>
      <c r="AL52" s="25">
        <v>4.3455157520864984E-2</v>
      </c>
      <c r="AM52" s="25">
        <v>5</v>
      </c>
      <c r="AN52">
        <v>0.77</v>
      </c>
      <c r="AO52">
        <v>9.9999999999999992E-2</v>
      </c>
      <c r="AP52">
        <v>5</v>
      </c>
      <c r="AQ52">
        <v>0</v>
      </c>
      <c r="AR52">
        <v>0</v>
      </c>
      <c r="AS52">
        <v>0</v>
      </c>
      <c r="AT52" t="b">
        <v>0</v>
      </c>
      <c r="AU52" t="b">
        <v>0</v>
      </c>
      <c r="AV52">
        <v>2</v>
      </c>
      <c r="AW52" s="22" t="b">
        <v>1</v>
      </c>
      <c r="AX52" s="22" t="b">
        <v>0</v>
      </c>
      <c r="AY52" s="22">
        <v>109.99999999999909</v>
      </c>
      <c r="AZ52" s="22">
        <v>409.99999999999864</v>
      </c>
      <c r="BA52" s="30">
        <v>4061.6650647812885</v>
      </c>
      <c r="BB52" s="35">
        <v>940.91109591943655</v>
      </c>
      <c r="BC52" s="25"/>
      <c r="BD52" s="25">
        <v>23.593270818248094</v>
      </c>
      <c r="BE52" s="25"/>
    </row>
    <row r="53" spans="1:57" x14ac:dyDescent="0.25">
      <c r="A53" t="s">
        <v>275</v>
      </c>
      <c r="B53" t="s">
        <v>372</v>
      </c>
      <c r="C53">
        <v>7</v>
      </c>
      <c r="D53">
        <v>1</v>
      </c>
      <c r="E53" t="s">
        <v>34</v>
      </c>
      <c r="F53" t="s">
        <v>409</v>
      </c>
      <c r="G53">
        <v>1</v>
      </c>
      <c r="H53">
        <v>1</v>
      </c>
      <c r="I53" s="25">
        <v>3.6500000000000012</v>
      </c>
      <c r="J53">
        <v>12.5</v>
      </c>
      <c r="K53">
        <v>12.5</v>
      </c>
      <c r="M53">
        <v>1142.45703125</v>
      </c>
      <c r="N53" s="25">
        <v>0.29133025890545944</v>
      </c>
      <c r="O53" s="25">
        <v>4.1618608415065636E-2</v>
      </c>
      <c r="P53" s="25">
        <v>0.30850135896920244</v>
      </c>
      <c r="Q53" s="25">
        <v>4.4071622709886064E-2</v>
      </c>
      <c r="R53" s="25">
        <v>59.783919999999995</v>
      </c>
      <c r="S53" s="25">
        <v>8.5405599999999993</v>
      </c>
      <c r="T53" s="22">
        <v>5</v>
      </c>
      <c r="U53" s="22">
        <v>0</v>
      </c>
      <c r="V53" s="11">
        <v>348.0274142565334</v>
      </c>
      <c r="W53" s="22">
        <v>1</v>
      </c>
      <c r="X53" s="22">
        <v>1</v>
      </c>
      <c r="Y53" s="22" t="s">
        <v>372</v>
      </c>
      <c r="AB53" s="22">
        <v>1</v>
      </c>
      <c r="AC53" t="s">
        <v>223</v>
      </c>
      <c r="AD53" t="s">
        <v>222</v>
      </c>
      <c r="AE53" s="25">
        <v>4060</v>
      </c>
      <c r="AF53" s="25">
        <v>989.3889435287565</v>
      </c>
      <c r="AG53">
        <v>1</v>
      </c>
      <c r="AH53">
        <v>1</v>
      </c>
      <c r="AK53" s="25">
        <v>0.36164000000000002</v>
      </c>
      <c r="AL53" s="25">
        <v>4.3455157520864984E-2</v>
      </c>
      <c r="AM53" s="25">
        <v>5</v>
      </c>
      <c r="AN53">
        <v>0.77</v>
      </c>
      <c r="AO53">
        <v>9.9999999999999992E-2</v>
      </c>
      <c r="AP53">
        <v>5</v>
      </c>
      <c r="AQ53">
        <v>0</v>
      </c>
      <c r="AR53">
        <v>0</v>
      </c>
      <c r="AS53">
        <v>0</v>
      </c>
      <c r="AT53" t="b">
        <v>0</v>
      </c>
      <c r="AU53" t="b">
        <v>0</v>
      </c>
      <c r="AV53">
        <v>2</v>
      </c>
      <c r="AW53" s="22" t="b">
        <v>1</v>
      </c>
      <c r="AX53" s="22" t="b">
        <v>0</v>
      </c>
      <c r="AY53" s="22">
        <v>109.99999999999909</v>
      </c>
      <c r="AZ53" s="22">
        <v>409.99999999999864</v>
      </c>
      <c r="BA53" s="30">
        <v>4061.6650647812885</v>
      </c>
      <c r="BB53" s="35">
        <v>940.91109591943655</v>
      </c>
      <c r="BC53" s="25"/>
      <c r="BD53" s="25">
        <v>23.593270818248094</v>
      </c>
      <c r="BE53" s="25"/>
    </row>
    <row r="54" spans="1:57" x14ac:dyDescent="0.25">
      <c r="A54" t="s">
        <v>276</v>
      </c>
      <c r="B54" t="s">
        <v>372</v>
      </c>
      <c r="C54">
        <v>7</v>
      </c>
      <c r="D54">
        <v>1</v>
      </c>
      <c r="E54" t="s">
        <v>34</v>
      </c>
      <c r="F54" t="s">
        <v>409</v>
      </c>
      <c r="G54">
        <v>1</v>
      </c>
      <c r="H54">
        <v>1</v>
      </c>
      <c r="I54" s="25">
        <v>3.6500000000000012</v>
      </c>
      <c r="J54">
        <v>12.5</v>
      </c>
      <c r="K54">
        <v>12.5</v>
      </c>
      <c r="M54">
        <v>1142.45703125</v>
      </c>
      <c r="N54" s="25">
        <v>0.29133025890545944</v>
      </c>
      <c r="O54" s="25">
        <v>4.1618608415065636E-2</v>
      </c>
      <c r="P54" s="25">
        <v>0.30850135896920244</v>
      </c>
      <c r="Q54" s="25">
        <v>4.4071622709886064E-2</v>
      </c>
      <c r="R54" s="25">
        <v>59.783919999999995</v>
      </c>
      <c r="S54" s="25">
        <v>8.5405599999999993</v>
      </c>
      <c r="T54" s="22">
        <v>5</v>
      </c>
      <c r="U54" s="22">
        <v>0</v>
      </c>
      <c r="V54" s="11">
        <v>348.0274142565334</v>
      </c>
      <c r="W54" s="22">
        <v>1</v>
      </c>
      <c r="X54" s="22">
        <v>1</v>
      </c>
      <c r="Y54" s="22" t="s">
        <v>372</v>
      </c>
      <c r="AB54" s="22">
        <v>1</v>
      </c>
      <c r="AC54" t="s">
        <v>223</v>
      </c>
      <c r="AD54" t="s">
        <v>222</v>
      </c>
      <c r="AE54" s="25">
        <v>4060</v>
      </c>
      <c r="AF54" s="25">
        <v>989.3889435287565</v>
      </c>
      <c r="AG54">
        <v>1</v>
      </c>
      <c r="AH54">
        <v>1</v>
      </c>
      <c r="AK54" s="25">
        <v>0.36164000000000002</v>
      </c>
      <c r="AL54" s="25">
        <v>4.3455157520864984E-2</v>
      </c>
      <c r="AM54" s="25">
        <v>5</v>
      </c>
      <c r="AN54">
        <v>0.77</v>
      </c>
      <c r="AO54">
        <v>9.9999999999999992E-2</v>
      </c>
      <c r="AP54">
        <v>5</v>
      </c>
      <c r="AQ54">
        <v>0</v>
      </c>
      <c r="AR54">
        <v>0</v>
      </c>
      <c r="AS54">
        <v>0</v>
      </c>
      <c r="AT54" t="b">
        <v>0</v>
      </c>
      <c r="AU54" t="b">
        <v>0</v>
      </c>
      <c r="AV54">
        <v>2</v>
      </c>
      <c r="AW54" s="22" t="b">
        <v>1</v>
      </c>
      <c r="AX54" s="22" t="b">
        <v>0</v>
      </c>
      <c r="AY54" s="22">
        <v>109.99999999999909</v>
      </c>
      <c r="AZ54" s="22">
        <v>409.99999999999864</v>
      </c>
      <c r="BA54" s="30">
        <v>4061.6650647812885</v>
      </c>
      <c r="BB54" s="35">
        <v>940.91109591943655</v>
      </c>
      <c r="BC54" s="25"/>
      <c r="BD54" s="25">
        <v>23.593270818248094</v>
      </c>
      <c r="BE54" s="25"/>
    </row>
    <row r="55" spans="1:57" x14ac:dyDescent="0.25">
      <c r="A55" t="s">
        <v>277</v>
      </c>
      <c r="B55" t="s">
        <v>372</v>
      </c>
      <c r="C55">
        <v>7</v>
      </c>
      <c r="D55">
        <v>1</v>
      </c>
      <c r="E55" t="s">
        <v>34</v>
      </c>
      <c r="F55" t="s">
        <v>409</v>
      </c>
      <c r="G55">
        <v>1</v>
      </c>
      <c r="H55">
        <v>1</v>
      </c>
      <c r="I55" s="25">
        <v>3.6500000000000012</v>
      </c>
      <c r="J55">
        <v>12.5</v>
      </c>
      <c r="K55">
        <v>12.5</v>
      </c>
      <c r="M55">
        <v>1142.45703125</v>
      </c>
      <c r="N55" s="25">
        <v>0.29133025890545944</v>
      </c>
      <c r="O55" s="25">
        <v>4.1618608415065636E-2</v>
      </c>
      <c r="P55" s="25">
        <v>0.30850135896920244</v>
      </c>
      <c r="Q55" s="25">
        <v>4.4071622709886064E-2</v>
      </c>
      <c r="R55" s="25">
        <v>59.783919999999995</v>
      </c>
      <c r="S55" s="25">
        <v>8.5405599999999993</v>
      </c>
      <c r="T55" s="22">
        <v>5</v>
      </c>
      <c r="U55" s="22">
        <v>0</v>
      </c>
      <c r="V55" s="11">
        <v>348.0274142565334</v>
      </c>
      <c r="W55" s="22">
        <v>1</v>
      </c>
      <c r="X55" s="22">
        <v>1</v>
      </c>
      <c r="Y55" s="22" t="s">
        <v>372</v>
      </c>
      <c r="AB55" s="22">
        <v>1</v>
      </c>
      <c r="AC55" t="s">
        <v>223</v>
      </c>
      <c r="AD55" t="s">
        <v>222</v>
      </c>
      <c r="AE55" s="25">
        <v>4060</v>
      </c>
      <c r="AF55" s="25">
        <v>989.3889435287565</v>
      </c>
      <c r="AG55">
        <v>1</v>
      </c>
      <c r="AH55">
        <v>1</v>
      </c>
      <c r="AK55" s="25">
        <v>0.36164000000000002</v>
      </c>
      <c r="AL55" s="25">
        <v>4.3455157520864984E-2</v>
      </c>
      <c r="AM55" s="25">
        <v>5</v>
      </c>
      <c r="AN55">
        <v>0.77</v>
      </c>
      <c r="AO55">
        <v>9.9999999999999992E-2</v>
      </c>
      <c r="AP55">
        <v>5</v>
      </c>
      <c r="AQ55">
        <v>0</v>
      </c>
      <c r="AR55">
        <v>0</v>
      </c>
      <c r="AS55">
        <v>0</v>
      </c>
      <c r="AT55" t="b">
        <v>0</v>
      </c>
      <c r="AU55" t="b">
        <v>0</v>
      </c>
      <c r="AV55">
        <v>2</v>
      </c>
      <c r="AW55" s="22" t="b">
        <v>1</v>
      </c>
      <c r="AX55" s="22" t="b">
        <v>0</v>
      </c>
      <c r="AY55" s="22">
        <v>109.99999999999909</v>
      </c>
      <c r="AZ55" s="22">
        <v>409.99999999999864</v>
      </c>
      <c r="BA55" s="30">
        <v>4061.6650647812885</v>
      </c>
      <c r="BB55" s="35">
        <v>940.91109591943655</v>
      </c>
      <c r="BC55" s="25"/>
      <c r="BD55" s="25">
        <v>23.593270818248094</v>
      </c>
      <c r="BE55" s="25"/>
    </row>
    <row r="56" spans="1:57" x14ac:dyDescent="0.25">
      <c r="A56" t="s">
        <v>278</v>
      </c>
      <c r="B56" t="s">
        <v>372</v>
      </c>
      <c r="C56">
        <v>7</v>
      </c>
      <c r="D56">
        <v>1</v>
      </c>
      <c r="E56" t="s">
        <v>34</v>
      </c>
      <c r="F56" t="s">
        <v>409</v>
      </c>
      <c r="G56">
        <v>1</v>
      </c>
      <c r="H56">
        <v>1</v>
      </c>
      <c r="I56" s="25">
        <v>3.6500000000000012</v>
      </c>
      <c r="J56">
        <v>12.5</v>
      </c>
      <c r="K56">
        <v>12.5</v>
      </c>
      <c r="M56">
        <v>1142.45703125</v>
      </c>
      <c r="N56" s="25">
        <v>0.29133025890545944</v>
      </c>
      <c r="O56" s="25">
        <v>4.1618608415065636E-2</v>
      </c>
      <c r="P56" s="25">
        <v>0.30850135896920244</v>
      </c>
      <c r="Q56" s="25">
        <v>4.4071622709886064E-2</v>
      </c>
      <c r="R56" s="25">
        <v>59.783919999999995</v>
      </c>
      <c r="S56" s="25">
        <v>8.5405599999999993</v>
      </c>
      <c r="T56" s="22">
        <v>5</v>
      </c>
      <c r="U56" s="22">
        <v>0</v>
      </c>
      <c r="V56" s="11">
        <v>348.0274142565334</v>
      </c>
      <c r="W56" s="22">
        <v>1</v>
      </c>
      <c r="X56" s="22">
        <v>1</v>
      </c>
      <c r="Y56" s="22" t="s">
        <v>372</v>
      </c>
      <c r="AB56" s="22">
        <v>1</v>
      </c>
      <c r="AC56" t="s">
        <v>223</v>
      </c>
      <c r="AD56" t="s">
        <v>222</v>
      </c>
      <c r="AE56" s="25">
        <v>4060</v>
      </c>
      <c r="AF56" s="25">
        <v>989.3889435287565</v>
      </c>
      <c r="AG56">
        <v>1</v>
      </c>
      <c r="AH56">
        <v>1</v>
      </c>
      <c r="AK56" s="25">
        <v>0.36164000000000002</v>
      </c>
      <c r="AL56" s="25">
        <v>4.3455157520864984E-2</v>
      </c>
      <c r="AM56" s="25">
        <v>5</v>
      </c>
      <c r="AN56">
        <v>0.77</v>
      </c>
      <c r="AO56">
        <v>9.9999999999999992E-2</v>
      </c>
      <c r="AP56">
        <v>5</v>
      </c>
      <c r="AQ56">
        <v>0</v>
      </c>
      <c r="AR56">
        <v>0</v>
      </c>
      <c r="AS56">
        <v>0</v>
      </c>
      <c r="AT56" t="b">
        <v>0</v>
      </c>
      <c r="AU56" t="b">
        <v>0</v>
      </c>
      <c r="AV56">
        <v>2</v>
      </c>
      <c r="AW56" s="22" t="b">
        <v>1</v>
      </c>
      <c r="AX56" s="22" t="b">
        <v>0</v>
      </c>
      <c r="AY56" s="22">
        <v>109.99999999999909</v>
      </c>
      <c r="AZ56" s="22">
        <v>409.99999999999864</v>
      </c>
      <c r="BA56" s="30">
        <v>4061.6650647812885</v>
      </c>
      <c r="BB56" s="35">
        <v>940.91109591943655</v>
      </c>
      <c r="BC56" s="25"/>
      <c r="BD56" s="25">
        <v>23.593270818248094</v>
      </c>
      <c r="BE56" s="25"/>
    </row>
    <row r="57" spans="1:57" x14ac:dyDescent="0.25">
      <c r="A57" t="s">
        <v>279</v>
      </c>
      <c r="B57" t="s">
        <v>373</v>
      </c>
      <c r="C57">
        <v>4</v>
      </c>
      <c r="D57">
        <v>4</v>
      </c>
      <c r="E57" t="s">
        <v>34</v>
      </c>
      <c r="F57" t="s">
        <v>409</v>
      </c>
      <c r="G57">
        <v>1</v>
      </c>
      <c r="H57">
        <v>1</v>
      </c>
      <c r="I57" s="25">
        <v>6.780000000000002</v>
      </c>
      <c r="J57">
        <v>22.499999999999968</v>
      </c>
      <c r="K57">
        <v>22.5</v>
      </c>
      <c r="L57">
        <v>22.5</v>
      </c>
      <c r="M57">
        <v>1200.0000476837158</v>
      </c>
      <c r="N57" s="25">
        <v>0.32150490282973571</v>
      </c>
      <c r="O57" s="25">
        <v>8.0376225707433926E-2</v>
      </c>
      <c r="P57" s="25">
        <v>0.32816568808542418</v>
      </c>
      <c r="Q57" s="25">
        <v>8.2041422021356045E-2</v>
      </c>
      <c r="R57" s="25">
        <v>80.093439999999987</v>
      </c>
      <c r="S57" s="25">
        <v>20.023359999999997</v>
      </c>
      <c r="T57" s="22">
        <v>9</v>
      </c>
      <c r="U57" s="22">
        <v>1</v>
      </c>
      <c r="V57" s="11">
        <v>2867.8983527343889</v>
      </c>
      <c r="W57" s="22">
        <v>1</v>
      </c>
      <c r="X57" s="22">
        <v>1</v>
      </c>
      <c r="Y57" s="22" t="s">
        <v>373</v>
      </c>
      <c r="AB57" s="22">
        <v>1</v>
      </c>
      <c r="AC57" t="s">
        <v>223</v>
      </c>
      <c r="AD57" t="s">
        <v>222</v>
      </c>
      <c r="AE57" s="25">
        <v>6969.513629801464</v>
      </c>
      <c r="AF57" s="25">
        <v>1569.6025499124055</v>
      </c>
      <c r="AG57">
        <v>2</v>
      </c>
      <c r="AH57">
        <v>1</v>
      </c>
      <c r="AK57" s="25">
        <v>0.46063388476340661</v>
      </c>
      <c r="AL57" s="25">
        <v>0.31775164733810773</v>
      </c>
      <c r="AM57" s="25">
        <v>6</v>
      </c>
      <c r="AN57">
        <v>1.42</v>
      </c>
      <c r="AO57">
        <v>0.73555555555555552</v>
      </c>
      <c r="AP57">
        <v>9</v>
      </c>
      <c r="AQ57">
        <v>0</v>
      </c>
      <c r="AR57">
        <v>0</v>
      </c>
      <c r="AS57">
        <v>0</v>
      </c>
      <c r="AT57" t="b">
        <v>0</v>
      </c>
      <c r="AU57" t="b">
        <v>0</v>
      </c>
      <c r="AV57">
        <v>2</v>
      </c>
      <c r="AW57" s="22" t="b">
        <v>0</v>
      </c>
      <c r="AX57" s="22" t="b">
        <v>0</v>
      </c>
      <c r="AY57" s="22">
        <v>94.756814900731115</v>
      </c>
      <c r="AZ57" s="22">
        <v>94.756814900731115</v>
      </c>
      <c r="BA57" s="30">
        <v>6969.513629801464</v>
      </c>
      <c r="BB57" s="35">
        <v>1569.6025499124055</v>
      </c>
      <c r="BC57" s="25"/>
      <c r="BD57" s="25">
        <v>46.060839155892808</v>
      </c>
      <c r="BE57" s="25"/>
    </row>
    <row r="58" spans="1:57" x14ac:dyDescent="0.25">
      <c r="A58" t="s">
        <v>280</v>
      </c>
      <c r="B58" t="s">
        <v>374</v>
      </c>
      <c r="C58">
        <v>9</v>
      </c>
      <c r="D58">
        <v>2</v>
      </c>
      <c r="E58" t="s">
        <v>34</v>
      </c>
      <c r="F58" t="s">
        <v>409</v>
      </c>
      <c r="G58">
        <v>1</v>
      </c>
      <c r="H58">
        <v>1</v>
      </c>
      <c r="I58" s="25">
        <v>6.7799999999999985</v>
      </c>
      <c r="J58">
        <v>22.499999999999982</v>
      </c>
      <c r="K58">
        <v>22.5</v>
      </c>
      <c r="L58">
        <v>22.5</v>
      </c>
      <c r="M58">
        <v>1200.0000476837158</v>
      </c>
      <c r="N58" s="25">
        <v>0.72090554955671859</v>
      </c>
      <c r="O58" s="25">
        <v>8.0100616617413176E-2</v>
      </c>
      <c r="P58" s="25">
        <v>0.74077200000000043</v>
      </c>
      <c r="Q58" s="25">
        <v>8.2308000000000062E-2</v>
      </c>
      <c r="R58" s="25">
        <v>142.75583999999998</v>
      </c>
      <c r="S58" s="25">
        <v>15.861759999999997</v>
      </c>
      <c r="T58" s="22">
        <v>7</v>
      </c>
      <c r="U58" s="22">
        <v>1</v>
      </c>
      <c r="V58" s="11">
        <v>1255.9258030778972</v>
      </c>
      <c r="W58" s="22">
        <v>1</v>
      </c>
      <c r="X58" s="22">
        <v>1</v>
      </c>
      <c r="Y58" s="22" t="s">
        <v>374</v>
      </c>
      <c r="AB58" s="22">
        <v>1</v>
      </c>
      <c r="AC58" t="s">
        <v>223</v>
      </c>
      <c r="AD58" t="s">
        <v>222</v>
      </c>
      <c r="AE58" s="25">
        <v>7599.9999999999982</v>
      </c>
      <c r="AF58" s="25">
        <v>1694.1570712495595</v>
      </c>
      <c r="AG58">
        <v>2</v>
      </c>
      <c r="AH58">
        <v>1</v>
      </c>
      <c r="AK58" s="25">
        <v>0.38840000000000008</v>
      </c>
      <c r="AL58" s="25">
        <v>8.8879241931251587E-2</v>
      </c>
      <c r="AM58" s="25">
        <v>5</v>
      </c>
      <c r="AN58">
        <v>1.1000000000000001</v>
      </c>
      <c r="AO58">
        <v>0.185</v>
      </c>
      <c r="AP58">
        <v>7</v>
      </c>
      <c r="AQ58">
        <v>0</v>
      </c>
      <c r="AR58">
        <v>0</v>
      </c>
      <c r="AS58">
        <v>0</v>
      </c>
      <c r="AT58" t="b">
        <v>0</v>
      </c>
      <c r="AU58" t="b">
        <v>0</v>
      </c>
      <c r="AV58">
        <v>2</v>
      </c>
      <c r="AW58" s="22" t="b">
        <v>0</v>
      </c>
      <c r="AX58" s="22" t="b">
        <v>0</v>
      </c>
      <c r="AY58" s="22">
        <v>410</v>
      </c>
      <c r="AZ58" s="22">
        <v>410</v>
      </c>
      <c r="BA58" s="30">
        <v>7599.9999999999982</v>
      </c>
      <c r="BB58" s="35">
        <v>1694.1570712495595</v>
      </c>
      <c r="BC58" s="25"/>
      <c r="BD58" s="25">
        <v>47.300588523988708</v>
      </c>
      <c r="BE58" s="25"/>
    </row>
    <row r="59" spans="1:57" x14ac:dyDescent="0.25">
      <c r="A59" t="s">
        <v>281</v>
      </c>
      <c r="B59" t="s">
        <v>374</v>
      </c>
      <c r="C59">
        <v>9</v>
      </c>
      <c r="D59">
        <v>2</v>
      </c>
      <c r="E59" t="s">
        <v>34</v>
      </c>
      <c r="F59" t="s">
        <v>409</v>
      </c>
      <c r="G59">
        <v>1</v>
      </c>
      <c r="H59">
        <v>1</v>
      </c>
      <c r="I59" s="25">
        <v>6.7799999999999985</v>
      </c>
      <c r="J59">
        <v>22.499999999999982</v>
      </c>
      <c r="K59">
        <v>22.5</v>
      </c>
      <c r="L59">
        <v>22.5</v>
      </c>
      <c r="M59">
        <v>1200.0000476837158</v>
      </c>
      <c r="N59" s="25">
        <v>0.72090554955671859</v>
      </c>
      <c r="O59" s="25">
        <v>8.0100616617413176E-2</v>
      </c>
      <c r="P59" s="25">
        <v>0.74077200000000043</v>
      </c>
      <c r="Q59" s="25">
        <v>8.2308000000000062E-2</v>
      </c>
      <c r="R59" s="25">
        <v>142.75583999999998</v>
      </c>
      <c r="S59" s="25">
        <v>15.861759999999997</v>
      </c>
      <c r="T59" s="22">
        <v>7</v>
      </c>
      <c r="U59" s="22">
        <v>1</v>
      </c>
      <c r="V59" s="11">
        <v>1255.9258030778972</v>
      </c>
      <c r="W59" s="22">
        <v>1</v>
      </c>
      <c r="X59" s="22">
        <v>1</v>
      </c>
      <c r="Y59" s="22" t="s">
        <v>374</v>
      </c>
      <c r="AB59" s="22">
        <v>1</v>
      </c>
      <c r="AC59" t="s">
        <v>223</v>
      </c>
      <c r="AD59" t="s">
        <v>222</v>
      </c>
      <c r="AE59" s="25">
        <v>7599.9999999999982</v>
      </c>
      <c r="AF59" s="25">
        <v>1694.1570712495595</v>
      </c>
      <c r="AG59">
        <v>2</v>
      </c>
      <c r="AH59">
        <v>1</v>
      </c>
      <c r="AK59" s="25">
        <v>0.38840000000000008</v>
      </c>
      <c r="AL59" s="25">
        <v>8.8879241931251587E-2</v>
      </c>
      <c r="AM59" s="25">
        <v>5</v>
      </c>
      <c r="AN59">
        <v>1.1000000000000001</v>
      </c>
      <c r="AO59">
        <v>0.185</v>
      </c>
      <c r="AP59">
        <v>7</v>
      </c>
      <c r="AQ59">
        <v>0</v>
      </c>
      <c r="AR59">
        <v>0</v>
      </c>
      <c r="AS59">
        <v>0</v>
      </c>
      <c r="AT59" t="b">
        <v>0</v>
      </c>
      <c r="AU59" t="b">
        <v>0</v>
      </c>
      <c r="AV59">
        <v>2</v>
      </c>
      <c r="AW59" s="22" t="b">
        <v>0</v>
      </c>
      <c r="AX59" s="22" t="b">
        <v>0</v>
      </c>
      <c r="AY59" s="22">
        <v>410</v>
      </c>
      <c r="AZ59" s="22">
        <v>409.99999999999454</v>
      </c>
      <c r="BA59" s="30">
        <v>7599.9999999999982</v>
      </c>
      <c r="BB59" s="35">
        <v>1694.1570712495595</v>
      </c>
      <c r="BC59" s="25"/>
      <c r="BD59" s="25">
        <v>47.300588523988708</v>
      </c>
      <c r="BE59" s="25"/>
    </row>
    <row r="60" spans="1:57" x14ac:dyDescent="0.25">
      <c r="A60" t="s">
        <v>282</v>
      </c>
      <c r="B60" t="s">
        <v>375</v>
      </c>
      <c r="C60">
        <v>1</v>
      </c>
      <c r="D60">
        <v>1</v>
      </c>
      <c r="E60" t="s">
        <v>34</v>
      </c>
      <c r="F60" t="s">
        <v>218</v>
      </c>
      <c r="G60">
        <v>1</v>
      </c>
      <c r="H60">
        <v>6</v>
      </c>
      <c r="I60" s="25">
        <v>0</v>
      </c>
      <c r="J60">
        <v>22.499999999999982</v>
      </c>
      <c r="K60">
        <v>22.5</v>
      </c>
      <c r="L60">
        <v>22.5</v>
      </c>
      <c r="M60">
        <v>1200.0000476837158</v>
      </c>
      <c r="N60" s="25">
        <v>2.9351470248898153E-2</v>
      </c>
      <c r="O60" s="25">
        <v>2.9351470248898153E-2</v>
      </c>
      <c r="P60" s="25">
        <v>3.1933218129183025E-2</v>
      </c>
      <c r="Q60" s="25">
        <v>3.1933218129183025E-2</v>
      </c>
      <c r="R60" s="25">
        <v>8.7903599999999997</v>
      </c>
      <c r="S60" s="25">
        <v>8.7903599999999997</v>
      </c>
      <c r="T60" s="22">
        <v>8</v>
      </c>
      <c r="U60" s="22">
        <v>0</v>
      </c>
      <c r="V60" s="11">
        <v>413.16615939649353</v>
      </c>
      <c r="W60" s="22">
        <v>1</v>
      </c>
      <c r="X60" s="22">
        <v>1</v>
      </c>
      <c r="Y60" s="22" t="s">
        <v>375</v>
      </c>
      <c r="AA60" t="s">
        <v>200</v>
      </c>
      <c r="AB60" s="22">
        <v>1</v>
      </c>
      <c r="AC60" t="s">
        <v>223</v>
      </c>
      <c r="AD60" t="s">
        <v>222</v>
      </c>
      <c r="AE60" s="25">
        <v>4363.9999046325684</v>
      </c>
      <c r="AF60" s="25">
        <v>903.81397334858775</v>
      </c>
      <c r="AG60">
        <v>2</v>
      </c>
      <c r="AH60">
        <v>1</v>
      </c>
      <c r="AK60" s="25">
        <v>0.25828266152415164</v>
      </c>
      <c r="AL60" s="25">
        <v>4.7747735542405238E-2</v>
      </c>
      <c r="AM60" s="25">
        <v>4</v>
      </c>
      <c r="AN60">
        <v>1.22</v>
      </c>
      <c r="AO60">
        <v>0.16194444444444445</v>
      </c>
      <c r="AP60">
        <v>8</v>
      </c>
      <c r="AQ60">
        <v>0</v>
      </c>
      <c r="AR60">
        <v>0</v>
      </c>
      <c r="AS60">
        <v>0</v>
      </c>
      <c r="AT60" t="b">
        <v>0</v>
      </c>
      <c r="AU60" t="b">
        <v>0</v>
      </c>
      <c r="AV60">
        <v>1</v>
      </c>
      <c r="AW60" s="22" t="b">
        <v>0</v>
      </c>
      <c r="AX60" s="22" t="b">
        <v>0</v>
      </c>
      <c r="AY60" s="22">
        <v>0</v>
      </c>
      <c r="AZ60" s="22">
        <v>0</v>
      </c>
      <c r="BA60" s="30">
        <v>4363.9999046325684</v>
      </c>
      <c r="BB60" s="35">
        <v>903.81397334858775</v>
      </c>
      <c r="BC60" s="25"/>
      <c r="BD60" s="25">
        <v>16.334041571362242</v>
      </c>
      <c r="BE60" s="25"/>
    </row>
    <row r="61" spans="1:57" x14ac:dyDescent="0.25">
      <c r="A61" t="s">
        <v>283</v>
      </c>
      <c r="B61" t="s">
        <v>376</v>
      </c>
      <c r="C61">
        <v>1</v>
      </c>
      <c r="D61">
        <v>1</v>
      </c>
      <c r="E61" t="s">
        <v>34</v>
      </c>
      <c r="F61" t="s">
        <v>218</v>
      </c>
      <c r="G61">
        <v>1</v>
      </c>
      <c r="H61">
        <v>6</v>
      </c>
      <c r="I61" s="25">
        <v>0</v>
      </c>
      <c r="J61">
        <v>22.499999999999982</v>
      </c>
      <c r="K61">
        <v>22.5</v>
      </c>
      <c r="L61">
        <v>22.5</v>
      </c>
      <c r="M61">
        <v>1200.0000476837158</v>
      </c>
      <c r="N61" s="25">
        <v>1.1445272650505317E-2</v>
      </c>
      <c r="O61" s="25">
        <v>1.1445272650505317E-2</v>
      </c>
      <c r="P61" s="25">
        <v>1.1838041201347602E-2</v>
      </c>
      <c r="Q61" s="25">
        <v>1.1838041201347602E-2</v>
      </c>
      <c r="R61" s="25">
        <v>4.6532400000000012</v>
      </c>
      <c r="S61" s="25">
        <v>4.6532400000000012</v>
      </c>
      <c r="T61" s="22">
        <v>4</v>
      </c>
      <c r="U61" s="22">
        <v>0</v>
      </c>
      <c r="V61" s="11">
        <v>227.35153656484761</v>
      </c>
      <c r="W61" s="22">
        <v>1</v>
      </c>
      <c r="X61" s="22">
        <v>1</v>
      </c>
      <c r="Y61" s="22" t="s">
        <v>376</v>
      </c>
      <c r="AA61" t="s">
        <v>200</v>
      </c>
      <c r="AB61" s="22">
        <v>1</v>
      </c>
      <c r="AC61" t="s">
        <v>223</v>
      </c>
      <c r="AD61" t="s">
        <v>222</v>
      </c>
      <c r="AE61" s="25">
        <v>1963.9998092651367</v>
      </c>
      <c r="AF61" s="25">
        <v>406.75767874903977</v>
      </c>
      <c r="AG61">
        <v>2</v>
      </c>
      <c r="AH61">
        <v>1</v>
      </c>
      <c r="AK61" s="25">
        <v>0.187</v>
      </c>
      <c r="AL61" s="25">
        <v>2.5984705489663515E-2</v>
      </c>
      <c r="AM61" s="25">
        <v>3</v>
      </c>
      <c r="AN61">
        <v>0.62</v>
      </c>
      <c r="AO61">
        <v>8.1944444444444445E-2</v>
      </c>
      <c r="AP61">
        <v>4</v>
      </c>
      <c r="AQ61">
        <v>0</v>
      </c>
      <c r="AR61">
        <v>0</v>
      </c>
      <c r="AS61">
        <v>0</v>
      </c>
      <c r="AT61" t="b">
        <v>0</v>
      </c>
      <c r="AU61" t="b">
        <v>0</v>
      </c>
      <c r="AV61">
        <v>1</v>
      </c>
      <c r="AW61" s="22" t="b">
        <v>0</v>
      </c>
      <c r="AX61" s="22" t="b">
        <v>0</v>
      </c>
      <c r="AY61" s="22">
        <v>0</v>
      </c>
      <c r="AZ61" s="22">
        <v>0</v>
      </c>
      <c r="BA61" s="30">
        <v>1963.9998092651367</v>
      </c>
      <c r="BB61" s="35">
        <v>406.75767874903977</v>
      </c>
      <c r="BC61" s="25"/>
      <c r="BD61" s="25">
        <v>6.1021085310060563</v>
      </c>
      <c r="BE61" s="25"/>
    </row>
    <row r="62" spans="1:57" x14ac:dyDescent="0.25">
      <c r="A62" t="s">
        <v>284</v>
      </c>
      <c r="B62" t="s">
        <v>377</v>
      </c>
      <c r="C62">
        <v>1</v>
      </c>
      <c r="D62">
        <v>1</v>
      </c>
      <c r="E62" t="s">
        <v>34</v>
      </c>
      <c r="F62" t="s">
        <v>218</v>
      </c>
      <c r="G62">
        <v>1</v>
      </c>
      <c r="H62">
        <v>6</v>
      </c>
      <c r="I62" s="25">
        <v>0</v>
      </c>
      <c r="J62">
        <v>22.499999999999964</v>
      </c>
      <c r="K62">
        <v>22.5</v>
      </c>
      <c r="L62">
        <v>22.5</v>
      </c>
      <c r="M62">
        <v>1200.0000476837158</v>
      </c>
      <c r="N62" s="25">
        <v>3.5598127710202529E-2</v>
      </c>
      <c r="O62" s="25">
        <v>3.5598127710202529E-2</v>
      </c>
      <c r="P62" s="25">
        <v>3.7650220641891101E-2</v>
      </c>
      <c r="Q62" s="25">
        <v>3.7650220641891101E-2</v>
      </c>
      <c r="R62" s="25">
        <v>10.33164</v>
      </c>
      <c r="S62" s="25">
        <v>10.33164</v>
      </c>
      <c r="T62" s="22">
        <v>8</v>
      </c>
      <c r="U62" s="22">
        <v>0</v>
      </c>
      <c r="V62" s="11">
        <v>469.51991297432471</v>
      </c>
      <c r="W62" s="22">
        <v>1</v>
      </c>
      <c r="X62" s="22">
        <v>1</v>
      </c>
      <c r="Y62" s="22" t="s">
        <v>377</v>
      </c>
      <c r="AA62" t="s">
        <v>201</v>
      </c>
      <c r="AB62" s="22">
        <v>1</v>
      </c>
      <c r="AC62" t="s">
        <v>223</v>
      </c>
      <c r="AD62" t="s">
        <v>222</v>
      </c>
      <c r="AE62" s="25">
        <v>5163.9999046325684</v>
      </c>
      <c r="AF62" s="25">
        <v>1069.4993982966989</v>
      </c>
      <c r="AG62">
        <v>2</v>
      </c>
      <c r="AH62">
        <v>1</v>
      </c>
      <c r="AK62" s="25">
        <v>0.26152983812502567</v>
      </c>
      <c r="AL62" s="25">
        <v>5.1177557989943903E-2</v>
      </c>
      <c r="AM62" s="25">
        <v>4</v>
      </c>
      <c r="AN62">
        <v>1.22</v>
      </c>
      <c r="AO62">
        <v>0.16194444444444445</v>
      </c>
      <c r="AP62">
        <v>8</v>
      </c>
      <c r="AQ62">
        <v>0</v>
      </c>
      <c r="AR62">
        <v>0</v>
      </c>
      <c r="AS62">
        <v>0</v>
      </c>
      <c r="AT62" t="b">
        <v>0</v>
      </c>
      <c r="AU62" t="b">
        <v>0</v>
      </c>
      <c r="AV62">
        <v>1</v>
      </c>
      <c r="AW62" s="22" t="b">
        <v>0</v>
      </c>
      <c r="AX62" s="22" t="b">
        <v>0</v>
      </c>
      <c r="AY62" s="22">
        <v>0</v>
      </c>
      <c r="AZ62" s="22">
        <v>0</v>
      </c>
      <c r="BA62" s="30">
        <v>5163.9999046325684</v>
      </c>
      <c r="BB62" s="35">
        <v>1069.4993982966989</v>
      </c>
      <c r="BC62" s="25"/>
      <c r="BD62" s="25">
        <v>19.928130340488032</v>
      </c>
      <c r="BE62" s="25"/>
    </row>
    <row r="63" spans="1:57" x14ac:dyDescent="0.25">
      <c r="A63" t="s">
        <v>285</v>
      </c>
      <c r="B63" t="s">
        <v>378</v>
      </c>
      <c r="C63">
        <v>1</v>
      </c>
      <c r="D63">
        <v>1</v>
      </c>
      <c r="E63" t="s">
        <v>34</v>
      </c>
      <c r="F63" t="s">
        <v>218</v>
      </c>
      <c r="G63">
        <v>1</v>
      </c>
      <c r="H63">
        <v>6</v>
      </c>
      <c r="I63" s="25">
        <v>0</v>
      </c>
      <c r="J63">
        <v>22.499999999999986</v>
      </c>
      <c r="K63">
        <v>22.5</v>
      </c>
      <c r="L63">
        <v>22.5</v>
      </c>
      <c r="M63">
        <v>1200.0000476837158</v>
      </c>
      <c r="N63" s="25">
        <v>1.6734931097309447E-2</v>
      </c>
      <c r="O63" s="25">
        <v>1.6734931097309447E-2</v>
      </c>
      <c r="P63" s="25">
        <v>1.854219743023703E-2</v>
      </c>
      <c r="Q63" s="25">
        <v>1.854219743023703E-2</v>
      </c>
      <c r="R63" s="25">
        <v>5.1602400000000008</v>
      </c>
      <c r="S63" s="25">
        <v>5.1602400000000008</v>
      </c>
      <c r="T63" s="22">
        <v>4</v>
      </c>
      <c r="U63" s="22">
        <v>0</v>
      </c>
      <c r="V63" s="11">
        <v>284.74291658021815</v>
      </c>
      <c r="W63" s="22">
        <v>1</v>
      </c>
      <c r="X63" s="22">
        <v>1</v>
      </c>
      <c r="Y63" s="22" t="s">
        <v>378</v>
      </c>
      <c r="AA63" t="s">
        <v>201</v>
      </c>
      <c r="AB63" s="22">
        <v>1</v>
      </c>
      <c r="AC63" t="s">
        <v>223</v>
      </c>
      <c r="AD63" t="s">
        <v>222</v>
      </c>
      <c r="AE63" s="25">
        <v>2763.9998092651367</v>
      </c>
      <c r="AF63" s="25">
        <v>572.44310369761661</v>
      </c>
      <c r="AG63">
        <v>2</v>
      </c>
      <c r="AH63">
        <v>1</v>
      </c>
      <c r="AK63" s="25">
        <v>0.19272999856948853</v>
      </c>
      <c r="AL63" s="25">
        <v>2.8888090238462092E-2</v>
      </c>
      <c r="AM63" s="25">
        <v>3</v>
      </c>
      <c r="AN63">
        <v>0.62</v>
      </c>
      <c r="AO63">
        <v>8.1944444444444445E-2</v>
      </c>
      <c r="AP63">
        <v>4</v>
      </c>
      <c r="AQ63">
        <v>0</v>
      </c>
      <c r="AR63">
        <v>0</v>
      </c>
      <c r="AS63">
        <v>0</v>
      </c>
      <c r="AT63" t="b">
        <v>0</v>
      </c>
      <c r="AU63" t="b">
        <v>0</v>
      </c>
      <c r="AV63">
        <v>1</v>
      </c>
      <c r="AW63" s="22" t="b">
        <v>0</v>
      </c>
      <c r="AX63" s="22" t="b">
        <v>0</v>
      </c>
      <c r="AY63" s="22">
        <v>0</v>
      </c>
      <c r="AZ63" s="22">
        <v>0</v>
      </c>
      <c r="BA63" s="30">
        <v>2763.9998092651367</v>
      </c>
      <c r="BB63" s="35">
        <v>572.44310369761661</v>
      </c>
      <c r="BC63" s="25"/>
      <c r="BD63" s="25">
        <v>9.0829214954823385</v>
      </c>
      <c r="BE63" s="25"/>
    </row>
    <row r="64" spans="1:57" x14ac:dyDescent="0.25">
      <c r="A64" t="s">
        <v>286</v>
      </c>
      <c r="B64" t="s">
        <v>379</v>
      </c>
      <c r="C64">
        <v>1</v>
      </c>
      <c r="D64">
        <v>1</v>
      </c>
      <c r="E64" t="s">
        <v>34</v>
      </c>
      <c r="F64" t="s">
        <v>218</v>
      </c>
      <c r="G64">
        <v>1</v>
      </c>
      <c r="H64">
        <v>6</v>
      </c>
      <c r="I64" s="25">
        <v>0</v>
      </c>
      <c r="J64">
        <v>26.000000000000011</v>
      </c>
      <c r="K64">
        <v>26</v>
      </c>
      <c r="L64">
        <v>26</v>
      </c>
      <c r="M64">
        <v>1200.0000476837158</v>
      </c>
      <c r="N64" s="25">
        <v>3.4940817140413596E-2</v>
      </c>
      <c r="O64" s="25">
        <v>3.4940817140413596E-2</v>
      </c>
      <c r="P64" s="25">
        <v>3.7902200611909541E-2</v>
      </c>
      <c r="Q64" s="25">
        <v>3.7902200611909541E-2</v>
      </c>
      <c r="R64" s="25">
        <v>9.2973600000000012</v>
      </c>
      <c r="S64" s="25">
        <v>9.2973600000000012</v>
      </c>
      <c r="T64" s="22">
        <v>8</v>
      </c>
      <c r="U64" s="22">
        <v>0</v>
      </c>
      <c r="V64" s="11">
        <v>452.48043744492321</v>
      </c>
      <c r="W64" s="22">
        <v>1</v>
      </c>
      <c r="X64" s="22">
        <v>1</v>
      </c>
      <c r="Y64" s="22" t="s">
        <v>379</v>
      </c>
      <c r="AA64" t="s">
        <v>202</v>
      </c>
      <c r="AB64" s="22">
        <v>1</v>
      </c>
      <c r="AC64" t="s">
        <v>223</v>
      </c>
      <c r="AD64" t="s">
        <v>222</v>
      </c>
      <c r="AE64" s="25">
        <v>4863.9999046325684</v>
      </c>
      <c r="AF64" s="25">
        <v>1186.1656321352348</v>
      </c>
      <c r="AG64">
        <v>2</v>
      </c>
      <c r="AH64">
        <v>1</v>
      </c>
      <c r="AK64" s="25">
        <v>0.2610449173084558</v>
      </c>
      <c r="AL64" s="25">
        <v>5.035945043379586E-2</v>
      </c>
      <c r="AM64" s="25">
        <v>4</v>
      </c>
      <c r="AN64">
        <v>1.22</v>
      </c>
      <c r="AO64">
        <v>0.16194444444444445</v>
      </c>
      <c r="AP64">
        <v>8</v>
      </c>
      <c r="AQ64">
        <v>0</v>
      </c>
      <c r="AR64">
        <v>0</v>
      </c>
      <c r="AS64">
        <v>0</v>
      </c>
      <c r="AT64" t="b">
        <v>0</v>
      </c>
      <c r="AU64" t="b">
        <v>0</v>
      </c>
      <c r="AV64">
        <v>1</v>
      </c>
      <c r="AW64" s="22" t="b">
        <v>0</v>
      </c>
      <c r="AX64" s="22" t="b">
        <v>0</v>
      </c>
      <c r="AY64" s="22">
        <v>0</v>
      </c>
      <c r="AZ64" s="22">
        <v>0</v>
      </c>
      <c r="BA64" s="30">
        <v>4863.9999046325684</v>
      </c>
      <c r="BB64" s="35">
        <v>1186.1656321352348</v>
      </c>
      <c r="BC64" s="25"/>
      <c r="BD64" s="25">
        <v>19.54740209004094</v>
      </c>
      <c r="BE64" s="25"/>
    </row>
    <row r="65" spans="1:57" x14ac:dyDescent="0.25">
      <c r="A65" t="s">
        <v>287</v>
      </c>
      <c r="B65" t="s">
        <v>380</v>
      </c>
      <c r="C65">
        <v>1</v>
      </c>
      <c r="D65">
        <v>1</v>
      </c>
      <c r="E65" t="s">
        <v>34</v>
      </c>
      <c r="F65" t="s">
        <v>218</v>
      </c>
      <c r="G65">
        <v>1</v>
      </c>
      <c r="H65">
        <v>6</v>
      </c>
      <c r="I65" s="25">
        <v>0</v>
      </c>
      <c r="J65">
        <v>26.000000000000014</v>
      </c>
      <c r="K65">
        <v>26</v>
      </c>
      <c r="L65">
        <v>26</v>
      </c>
      <c r="M65">
        <v>1200.0000476837158</v>
      </c>
      <c r="N65" s="25">
        <v>1.5361463250737518E-2</v>
      </c>
      <c r="O65" s="25">
        <v>1.5361463250737518E-2</v>
      </c>
      <c r="P65" s="25">
        <v>1.7751573028009452E-2</v>
      </c>
      <c r="Q65" s="25">
        <v>1.7751573028009452E-2</v>
      </c>
      <c r="R65" s="25">
        <v>4.6532400000000012</v>
      </c>
      <c r="S65" s="25">
        <v>4.6532400000000012</v>
      </c>
      <c r="T65" s="22">
        <v>4</v>
      </c>
      <c r="U65" s="22">
        <v>0</v>
      </c>
      <c r="V65" s="11">
        <v>263.81737486429626</v>
      </c>
      <c r="W65" s="22">
        <v>1</v>
      </c>
      <c r="X65" s="22">
        <v>1</v>
      </c>
      <c r="Y65" s="22" t="s">
        <v>380</v>
      </c>
      <c r="AA65" t="s">
        <v>202</v>
      </c>
      <c r="AB65" s="22">
        <v>1</v>
      </c>
      <c r="AC65" t="s">
        <v>223</v>
      </c>
      <c r="AD65" t="s">
        <v>222</v>
      </c>
      <c r="AE65" s="25">
        <v>2463.9998092651367</v>
      </c>
      <c r="AF65" s="25">
        <v>600.88650260027498</v>
      </c>
      <c r="AG65">
        <v>2</v>
      </c>
      <c r="AH65">
        <v>1</v>
      </c>
      <c r="AK65" s="25">
        <v>0.19047999856948852</v>
      </c>
      <c r="AL65" s="25">
        <v>2.7854940479787586E-2</v>
      </c>
      <c r="AM65" s="25">
        <v>3</v>
      </c>
      <c r="AN65">
        <v>0.62</v>
      </c>
      <c r="AO65">
        <v>8.1944444444444445E-2</v>
      </c>
      <c r="AP65">
        <v>4</v>
      </c>
      <c r="AQ65">
        <v>0</v>
      </c>
      <c r="AR65">
        <v>0</v>
      </c>
      <c r="AS65">
        <v>0</v>
      </c>
      <c r="AT65" t="b">
        <v>0</v>
      </c>
      <c r="AU65" t="b">
        <v>0</v>
      </c>
      <c r="AV65">
        <v>1</v>
      </c>
      <c r="AW65" s="22" t="b">
        <v>0</v>
      </c>
      <c r="AX65" s="22" t="b">
        <v>0</v>
      </c>
      <c r="AY65" s="22">
        <v>0</v>
      </c>
      <c r="AZ65" s="22">
        <v>0</v>
      </c>
      <c r="BA65" s="30">
        <v>2463.9998092651367</v>
      </c>
      <c r="BB65" s="35">
        <v>600.88650260027498</v>
      </c>
      <c r="BC65" s="25"/>
      <c r="BD65" s="25">
        <v>8.3540238952191448</v>
      </c>
      <c r="BE65" s="25"/>
    </row>
    <row r="66" spans="1:57" x14ac:dyDescent="0.25">
      <c r="A66" t="s">
        <v>288</v>
      </c>
      <c r="B66" t="s">
        <v>381</v>
      </c>
      <c r="C66">
        <v>1</v>
      </c>
      <c r="D66">
        <v>1</v>
      </c>
      <c r="E66" t="s">
        <v>34</v>
      </c>
      <c r="F66" t="s">
        <v>409</v>
      </c>
      <c r="G66">
        <v>1</v>
      </c>
      <c r="H66">
        <v>1</v>
      </c>
      <c r="I66" s="25">
        <v>8.1800000000000033</v>
      </c>
      <c r="J66">
        <v>22.499999999999996</v>
      </c>
      <c r="K66">
        <v>22.5</v>
      </c>
      <c r="L66">
        <v>22.5</v>
      </c>
      <c r="M66">
        <v>1200.0000476837158</v>
      </c>
      <c r="N66" s="25">
        <v>9.4688104343329069E-2</v>
      </c>
      <c r="O66" s="25">
        <v>9.4688104343329069E-2</v>
      </c>
      <c r="P66" s="25">
        <v>0.10050240000000017</v>
      </c>
      <c r="Q66" s="25">
        <v>0.10050240000000017</v>
      </c>
      <c r="R66" s="25">
        <v>16.083359999999999</v>
      </c>
      <c r="S66" s="25">
        <v>16.083359999999999</v>
      </c>
      <c r="T66" s="22">
        <v>8</v>
      </c>
      <c r="U66" s="22">
        <v>1</v>
      </c>
      <c r="V66" s="11">
        <v>929.72912934144574</v>
      </c>
      <c r="W66" s="22">
        <v>1</v>
      </c>
      <c r="X66" s="22">
        <v>1</v>
      </c>
      <c r="Y66" s="22" t="s">
        <v>381</v>
      </c>
      <c r="AA66" t="s">
        <v>203</v>
      </c>
      <c r="AB66" s="22">
        <v>1</v>
      </c>
      <c r="AC66" t="s">
        <v>223</v>
      </c>
      <c r="AD66" t="s">
        <v>222</v>
      </c>
      <c r="AE66" s="25">
        <v>8600.0000000000437</v>
      </c>
      <c r="AF66" s="25">
        <v>1984.1065649092197</v>
      </c>
      <c r="AG66">
        <v>2</v>
      </c>
      <c r="AH66">
        <v>1</v>
      </c>
      <c r="AK66" s="25">
        <v>0.47831567718199985</v>
      </c>
      <c r="AL66" s="25">
        <v>8.0913332044329281E-2</v>
      </c>
      <c r="AM66" s="25">
        <v>6</v>
      </c>
      <c r="AN66">
        <v>1.49</v>
      </c>
      <c r="AO66">
        <v>0.17</v>
      </c>
      <c r="AP66">
        <v>8</v>
      </c>
      <c r="AQ66">
        <v>0</v>
      </c>
      <c r="AR66">
        <v>0</v>
      </c>
      <c r="AS66">
        <v>0</v>
      </c>
      <c r="AT66" t="b">
        <v>0</v>
      </c>
      <c r="AU66" t="b">
        <v>0</v>
      </c>
      <c r="AV66">
        <v>2</v>
      </c>
      <c r="AW66" s="22" t="b">
        <v>0</v>
      </c>
      <c r="AX66" s="22" t="b">
        <v>0</v>
      </c>
      <c r="AY66" s="22">
        <v>3.637978807091713E-12</v>
      </c>
      <c r="AZ66" s="22">
        <v>410</v>
      </c>
      <c r="BA66" s="30">
        <v>8603.2374547345771</v>
      </c>
      <c r="BB66" s="35">
        <v>1918.7314617313593</v>
      </c>
      <c r="BC66" s="25"/>
      <c r="BD66" s="25">
        <v>57.11966363707937</v>
      </c>
      <c r="BE66" s="25"/>
    </row>
    <row r="67" spans="1:57" x14ac:dyDescent="0.25">
      <c r="A67" t="s">
        <v>289</v>
      </c>
      <c r="B67" t="s">
        <v>382</v>
      </c>
      <c r="C67">
        <v>2</v>
      </c>
      <c r="D67">
        <v>2</v>
      </c>
      <c r="E67" t="s">
        <v>34</v>
      </c>
      <c r="F67" t="s">
        <v>219</v>
      </c>
      <c r="G67">
        <v>1</v>
      </c>
      <c r="H67">
        <v>2</v>
      </c>
      <c r="I67" s="25">
        <v>8.1800000000000033</v>
      </c>
      <c r="J67">
        <v>22.499999999999996</v>
      </c>
      <c r="K67">
        <v>22.5</v>
      </c>
      <c r="L67">
        <v>22.5</v>
      </c>
      <c r="M67">
        <v>1200.0000476837158</v>
      </c>
      <c r="N67" s="25">
        <v>0.21758207545107483</v>
      </c>
      <c r="O67" s="25">
        <v>0.10879103772553742</v>
      </c>
      <c r="P67" s="25">
        <v>0.23064799420484619</v>
      </c>
      <c r="Q67" s="25">
        <v>0.1153239971024231</v>
      </c>
      <c r="R67" s="25">
        <v>63.121679999999991</v>
      </c>
      <c r="S67" s="25">
        <v>31.560839999999995</v>
      </c>
      <c r="T67" s="22">
        <v>13</v>
      </c>
      <c r="U67" s="22">
        <v>1</v>
      </c>
      <c r="V67" s="11">
        <v>2171.6681006133349</v>
      </c>
      <c r="W67" s="22">
        <v>1</v>
      </c>
      <c r="X67" s="22">
        <v>1</v>
      </c>
      <c r="Y67" s="22" t="s">
        <v>382</v>
      </c>
      <c r="AA67" t="s">
        <v>203</v>
      </c>
      <c r="AB67" s="22">
        <v>1</v>
      </c>
      <c r="AC67" t="s">
        <v>223</v>
      </c>
      <c r="AD67" t="s">
        <v>222</v>
      </c>
      <c r="AE67" s="25">
        <v>9000.0000000000036</v>
      </c>
      <c r="AF67" s="25">
        <v>1498.8736468032002</v>
      </c>
      <c r="AG67">
        <v>2</v>
      </c>
      <c r="AH67">
        <v>1</v>
      </c>
      <c r="AK67" s="25">
        <v>0.69101726584503154</v>
      </c>
      <c r="AL67" s="25">
        <v>0.2322778722155642</v>
      </c>
      <c r="AM67" s="25">
        <v>9</v>
      </c>
      <c r="AN67">
        <v>2.06</v>
      </c>
      <c r="AO67">
        <v>0.53166666666666662</v>
      </c>
      <c r="AP67">
        <v>13</v>
      </c>
      <c r="AQ67">
        <v>0</v>
      </c>
      <c r="AR67">
        <v>0</v>
      </c>
      <c r="AS67">
        <v>0</v>
      </c>
      <c r="AT67" t="b">
        <v>0</v>
      </c>
      <c r="AU67" t="b">
        <v>0</v>
      </c>
      <c r="AV67">
        <v>2</v>
      </c>
      <c r="AW67" s="22" t="b">
        <v>0</v>
      </c>
      <c r="AX67" s="22" t="b">
        <v>0</v>
      </c>
      <c r="AY67" s="22">
        <v>410</v>
      </c>
      <c r="AZ67" s="22">
        <v>410</v>
      </c>
      <c r="BA67" s="30">
        <v>9000.0000000000036</v>
      </c>
      <c r="BB67" s="35">
        <v>1498.8736468032002</v>
      </c>
      <c r="BC67" s="25"/>
      <c r="BD67" s="25">
        <v>62.490152008701322</v>
      </c>
      <c r="BE67" s="25"/>
    </row>
    <row r="68" spans="1:57" x14ac:dyDescent="0.25">
      <c r="A68" t="s">
        <v>290</v>
      </c>
      <c r="B68" t="s">
        <v>383</v>
      </c>
      <c r="C68">
        <v>3</v>
      </c>
      <c r="D68">
        <v>1</v>
      </c>
      <c r="E68" t="s">
        <v>408</v>
      </c>
      <c r="F68" t="s">
        <v>410</v>
      </c>
      <c r="G68">
        <v>5</v>
      </c>
      <c r="H68">
        <v>3</v>
      </c>
      <c r="I68" s="25">
        <v>5.7915893142285348</v>
      </c>
      <c r="J68">
        <v>16.324949936895255</v>
      </c>
      <c r="K68">
        <v>16.32</v>
      </c>
      <c r="M68">
        <v>1200.0000476837158</v>
      </c>
      <c r="N68" s="25">
        <v>8.5770863146113069E-2</v>
      </c>
      <c r="O68" s="25">
        <v>2.8590287715371025E-2</v>
      </c>
      <c r="P68" s="25">
        <v>8.5773600000000005E-2</v>
      </c>
      <c r="Q68" s="25">
        <v>2.8591200000000001E-2</v>
      </c>
      <c r="U68" s="22">
        <v>0</v>
      </c>
      <c r="V68" s="11">
        <v>212.07629240406038</v>
      </c>
      <c r="W68" s="22">
        <v>1</v>
      </c>
      <c r="X68" s="22">
        <v>1</v>
      </c>
      <c r="Y68" s="22" t="s">
        <v>383</v>
      </c>
      <c r="AA68" t="s">
        <v>203</v>
      </c>
      <c r="AB68" s="22">
        <v>1</v>
      </c>
      <c r="AC68" t="s">
        <v>223</v>
      </c>
      <c r="AD68" t="s">
        <v>222</v>
      </c>
      <c r="AE68" s="25">
        <v>6302.5051865560526</v>
      </c>
      <c r="AF68" s="25">
        <v>1961.624225769192</v>
      </c>
      <c r="AG68">
        <v>1</v>
      </c>
      <c r="AH68">
        <v>0</v>
      </c>
      <c r="AK68" s="25">
        <v>7.0000000000000007E-2</v>
      </c>
      <c r="AL68" s="25">
        <v>1.752897819290079E-2</v>
      </c>
      <c r="AM68" s="25">
        <v>1</v>
      </c>
      <c r="AP68">
        <v>0</v>
      </c>
      <c r="AQ68">
        <v>0</v>
      </c>
      <c r="AR68">
        <v>0</v>
      </c>
      <c r="AS68">
        <v>0</v>
      </c>
      <c r="AT68" t="b">
        <v>0</v>
      </c>
      <c r="AU68" t="b">
        <v>0</v>
      </c>
      <c r="AV68">
        <v>4</v>
      </c>
      <c r="AW68" s="22" t="b">
        <v>0</v>
      </c>
      <c r="AX68" s="22" t="b">
        <v>0</v>
      </c>
      <c r="AY68" s="22">
        <v>561.82756057295046</v>
      </c>
      <c r="AZ68" s="22">
        <v>50.911688245432742</v>
      </c>
      <c r="BA68" s="30">
        <v>6599.7894079804137</v>
      </c>
      <c r="BB68" s="35">
        <v>111.00000000211389</v>
      </c>
      <c r="BC68" s="25"/>
      <c r="BD68" s="25">
        <v>16.03437764123829</v>
      </c>
      <c r="BE68" s="25"/>
    </row>
    <row r="69" spans="1:57" x14ac:dyDescent="0.25">
      <c r="A69" t="s">
        <v>291</v>
      </c>
      <c r="B69" t="s">
        <v>383</v>
      </c>
      <c r="C69">
        <v>3</v>
      </c>
      <c r="D69">
        <v>1</v>
      </c>
      <c r="E69" t="s">
        <v>408</v>
      </c>
      <c r="F69" t="s">
        <v>410</v>
      </c>
      <c r="G69">
        <v>5</v>
      </c>
      <c r="H69">
        <v>3</v>
      </c>
      <c r="I69" s="25">
        <v>5.7915893142285348</v>
      </c>
      <c r="J69">
        <v>16.324949936895255</v>
      </c>
      <c r="K69">
        <v>16.32</v>
      </c>
      <c r="M69">
        <v>1200.0000476837158</v>
      </c>
      <c r="N69" s="25">
        <v>8.5770863146113069E-2</v>
      </c>
      <c r="O69" s="25">
        <v>2.8590287715371025E-2</v>
      </c>
      <c r="P69" s="25">
        <v>8.5773600000000005E-2</v>
      </c>
      <c r="Q69" s="25">
        <v>2.8591200000000001E-2</v>
      </c>
      <c r="U69" s="22">
        <v>0</v>
      </c>
      <c r="V69" s="11">
        <v>212.07629240406038</v>
      </c>
      <c r="W69" s="22">
        <v>1</v>
      </c>
      <c r="X69" s="22">
        <v>1</v>
      </c>
      <c r="Y69" s="22" t="s">
        <v>383</v>
      </c>
      <c r="AA69" t="s">
        <v>203</v>
      </c>
      <c r="AB69" s="22">
        <v>1</v>
      </c>
      <c r="AC69" t="s">
        <v>223</v>
      </c>
      <c r="AD69" t="s">
        <v>222</v>
      </c>
      <c r="AE69" s="25">
        <v>6302.5051865560526</v>
      </c>
      <c r="AF69" s="25">
        <v>1961.624225769192</v>
      </c>
      <c r="AG69">
        <v>1</v>
      </c>
      <c r="AH69">
        <v>0</v>
      </c>
      <c r="AK69" s="25">
        <v>7.0000000000000007E-2</v>
      </c>
      <c r="AL69" s="25">
        <v>1.752897819290079E-2</v>
      </c>
      <c r="AM69" s="25">
        <v>1</v>
      </c>
      <c r="AP69">
        <v>0</v>
      </c>
      <c r="AQ69">
        <v>0</v>
      </c>
      <c r="AR69">
        <v>0</v>
      </c>
      <c r="AS69">
        <v>0</v>
      </c>
      <c r="AT69" t="b">
        <v>0</v>
      </c>
      <c r="AU69" t="b">
        <v>0</v>
      </c>
      <c r="AV69">
        <v>4</v>
      </c>
      <c r="AW69" s="22" t="b">
        <v>0</v>
      </c>
      <c r="AX69" s="22" t="b">
        <v>0</v>
      </c>
      <c r="AY69" s="22">
        <v>561.82756057294682</v>
      </c>
      <c r="AZ69" s="22">
        <v>50.911688245432742</v>
      </c>
      <c r="BA69" s="30">
        <v>6599.7894079804137</v>
      </c>
      <c r="BB69" s="35">
        <v>111.00000000211389</v>
      </c>
      <c r="BC69" s="25"/>
      <c r="BD69" s="25">
        <v>16.03437764123829</v>
      </c>
      <c r="BE69" s="25"/>
    </row>
    <row r="70" spans="1:57" x14ac:dyDescent="0.25">
      <c r="A70" t="s">
        <v>292</v>
      </c>
      <c r="B70" t="s">
        <v>384</v>
      </c>
      <c r="C70">
        <v>4</v>
      </c>
      <c r="D70">
        <v>1</v>
      </c>
      <c r="E70" t="s">
        <v>34</v>
      </c>
      <c r="F70" t="s">
        <v>411</v>
      </c>
      <c r="G70">
        <v>1</v>
      </c>
      <c r="H70">
        <v>5</v>
      </c>
      <c r="I70" s="25">
        <v>2.8719999523162913</v>
      </c>
      <c r="J70">
        <v>22.500000000000004</v>
      </c>
      <c r="K70">
        <v>22.5</v>
      </c>
      <c r="M70">
        <v>1200.0000476837158</v>
      </c>
      <c r="N70" s="25">
        <v>0.12657849466006785</v>
      </c>
      <c r="O70" s="25">
        <v>3.1644623665016962E-2</v>
      </c>
      <c r="P70" s="25">
        <v>0.1316928</v>
      </c>
      <c r="Q70" s="25">
        <v>3.29232E-2</v>
      </c>
      <c r="R70" s="25">
        <v>37.181440000000002</v>
      </c>
      <c r="S70" s="25">
        <v>9.2953600000000005</v>
      </c>
      <c r="T70" s="22">
        <v>4</v>
      </c>
      <c r="U70" s="22">
        <v>0</v>
      </c>
      <c r="V70" s="11">
        <v>324.6213539241549</v>
      </c>
      <c r="W70" s="22">
        <v>1</v>
      </c>
      <c r="X70" s="22">
        <v>1</v>
      </c>
      <c r="Y70" s="22" t="s">
        <v>384</v>
      </c>
      <c r="AA70" t="s">
        <v>203</v>
      </c>
      <c r="AB70" s="22">
        <v>1</v>
      </c>
      <c r="AC70" t="s">
        <v>223</v>
      </c>
      <c r="AD70" t="s">
        <v>222</v>
      </c>
      <c r="AE70" s="25">
        <v>3281.9999523167462</v>
      </c>
      <c r="AF70" s="25">
        <v>1479.5944261904806</v>
      </c>
      <c r="AG70">
        <v>1</v>
      </c>
      <c r="AH70">
        <v>1</v>
      </c>
      <c r="AK70" s="25">
        <v>0.27951591622304983</v>
      </c>
      <c r="AL70" s="25">
        <v>3.4619587248151312E-2</v>
      </c>
      <c r="AM70" s="25">
        <v>4</v>
      </c>
      <c r="AN70">
        <v>0.61</v>
      </c>
      <c r="AO70">
        <v>0.08</v>
      </c>
      <c r="AP70">
        <v>4</v>
      </c>
      <c r="AQ70">
        <v>0</v>
      </c>
      <c r="AR70">
        <v>0</v>
      </c>
      <c r="AS70">
        <v>0</v>
      </c>
      <c r="AT70" t="b">
        <v>0</v>
      </c>
      <c r="AU70" t="b">
        <v>0</v>
      </c>
      <c r="AV70">
        <v>2</v>
      </c>
      <c r="AW70" s="22" t="b">
        <v>0</v>
      </c>
      <c r="AX70" s="22" t="b">
        <v>1</v>
      </c>
      <c r="AY70" s="22">
        <v>410</v>
      </c>
      <c r="AZ70" s="22">
        <v>4.5474735088646412E-10</v>
      </c>
      <c r="BA70" s="30">
        <v>3598.3888551713108</v>
      </c>
      <c r="BB70" s="35">
        <v>1251.8936338297542</v>
      </c>
      <c r="BC70" s="25"/>
      <c r="BD70" s="25">
        <v>18.1692832494115</v>
      </c>
      <c r="BE70" s="25"/>
    </row>
    <row r="71" spans="1:57" x14ac:dyDescent="0.25">
      <c r="A71" t="s">
        <v>293</v>
      </c>
      <c r="B71" t="s">
        <v>384</v>
      </c>
      <c r="C71">
        <v>4</v>
      </c>
      <c r="D71">
        <v>1</v>
      </c>
      <c r="E71" t="s">
        <v>34</v>
      </c>
      <c r="F71" t="s">
        <v>411</v>
      </c>
      <c r="G71">
        <v>1</v>
      </c>
      <c r="H71">
        <v>5</v>
      </c>
      <c r="I71" s="25">
        <v>2.8719999523162913</v>
      </c>
      <c r="J71">
        <v>22.500000000000004</v>
      </c>
      <c r="K71">
        <v>22.5</v>
      </c>
      <c r="M71">
        <v>1200.0000476837158</v>
      </c>
      <c r="N71" s="25">
        <v>0.12657849466006785</v>
      </c>
      <c r="O71" s="25">
        <v>3.1644623665016962E-2</v>
      </c>
      <c r="P71" s="25">
        <v>0.1316928</v>
      </c>
      <c r="Q71" s="25">
        <v>3.29232E-2</v>
      </c>
      <c r="R71" s="25">
        <v>37.181440000000002</v>
      </c>
      <c r="S71" s="25">
        <v>9.2953600000000005</v>
      </c>
      <c r="T71" s="22">
        <v>4</v>
      </c>
      <c r="U71" s="22">
        <v>0</v>
      </c>
      <c r="V71" s="11">
        <v>324.6213539241549</v>
      </c>
      <c r="W71" s="22">
        <v>1</v>
      </c>
      <c r="X71" s="22">
        <v>1</v>
      </c>
      <c r="Y71" s="22" t="s">
        <v>384</v>
      </c>
      <c r="AA71" t="s">
        <v>203</v>
      </c>
      <c r="AB71" s="22">
        <v>1</v>
      </c>
      <c r="AC71" t="s">
        <v>223</v>
      </c>
      <c r="AD71" t="s">
        <v>222</v>
      </c>
      <c r="AE71" s="25">
        <v>3281.9999523167462</v>
      </c>
      <c r="AF71" s="25">
        <v>1479.5944261904806</v>
      </c>
      <c r="AG71">
        <v>1</v>
      </c>
      <c r="AH71">
        <v>1</v>
      </c>
      <c r="AK71" s="25">
        <v>0.27951591622304983</v>
      </c>
      <c r="AL71" s="25">
        <v>3.4619587248151312E-2</v>
      </c>
      <c r="AM71" s="25">
        <v>4</v>
      </c>
      <c r="AN71">
        <v>0.61</v>
      </c>
      <c r="AO71">
        <v>0.08</v>
      </c>
      <c r="AP71">
        <v>4</v>
      </c>
      <c r="AQ71">
        <v>0</v>
      </c>
      <c r="AR71">
        <v>0</v>
      </c>
      <c r="AS71">
        <v>0</v>
      </c>
      <c r="AT71" t="b">
        <v>0</v>
      </c>
      <c r="AU71" t="b">
        <v>0</v>
      </c>
      <c r="AV71">
        <v>2</v>
      </c>
      <c r="AW71" s="22" t="b">
        <v>0</v>
      </c>
      <c r="AX71" s="22" t="b">
        <v>1</v>
      </c>
      <c r="AY71" s="22">
        <v>410</v>
      </c>
      <c r="AZ71" s="22">
        <v>4.5474735088646412E-10</v>
      </c>
      <c r="BA71" s="30">
        <v>3598.3888551713108</v>
      </c>
      <c r="BB71" s="35">
        <v>1251.8936338297542</v>
      </c>
      <c r="BC71" s="25"/>
      <c r="BD71" s="25">
        <v>18.1692832494115</v>
      </c>
      <c r="BE71" s="25"/>
    </row>
    <row r="72" spans="1:57" x14ac:dyDescent="0.25">
      <c r="A72" t="s">
        <v>294</v>
      </c>
      <c r="B72" t="s">
        <v>385</v>
      </c>
      <c r="C72">
        <v>2</v>
      </c>
      <c r="D72">
        <v>1</v>
      </c>
      <c r="E72" t="s">
        <v>34</v>
      </c>
      <c r="F72" t="s">
        <v>411</v>
      </c>
      <c r="G72">
        <v>1</v>
      </c>
      <c r="H72">
        <v>5</v>
      </c>
      <c r="I72" s="25">
        <v>4.1079999999999997</v>
      </c>
      <c r="J72">
        <v>22.5</v>
      </c>
      <c r="K72">
        <v>22.5</v>
      </c>
      <c r="M72">
        <v>1200.0000476837158</v>
      </c>
      <c r="N72" s="25">
        <v>7.4542663005189885E-2</v>
      </c>
      <c r="O72" s="25">
        <v>3.7271331502594943E-2</v>
      </c>
      <c r="P72" s="25">
        <v>8.1441600000000003E-2</v>
      </c>
      <c r="Q72" s="25">
        <v>4.0720800000000001E-2</v>
      </c>
      <c r="R72" s="25">
        <v>18.590720000000001</v>
      </c>
      <c r="S72" s="25">
        <v>9.2953600000000005</v>
      </c>
      <c r="T72" s="22">
        <v>4</v>
      </c>
      <c r="U72" s="22">
        <v>0</v>
      </c>
      <c r="V72" s="11">
        <v>391.18372506972446</v>
      </c>
      <c r="W72" s="22">
        <v>1</v>
      </c>
      <c r="X72" s="22">
        <v>1</v>
      </c>
      <c r="Y72" s="22" t="s">
        <v>385</v>
      </c>
      <c r="AA72" t="s">
        <v>203</v>
      </c>
      <c r="AB72" s="22">
        <v>1</v>
      </c>
      <c r="AC72" t="s">
        <v>223</v>
      </c>
      <c r="AD72" t="s">
        <v>222</v>
      </c>
      <c r="AE72" s="25">
        <v>4482</v>
      </c>
      <c r="AF72" s="25">
        <v>1976.6507207881659</v>
      </c>
      <c r="AG72">
        <v>1</v>
      </c>
      <c r="AH72">
        <v>1</v>
      </c>
      <c r="AK72" s="25">
        <v>0.28252799980926513</v>
      </c>
      <c r="AL72" s="25">
        <v>3.7293732790424562E-2</v>
      </c>
      <c r="AM72" s="25">
        <v>4</v>
      </c>
      <c r="AN72">
        <v>0.61</v>
      </c>
      <c r="AO72">
        <v>0.08</v>
      </c>
      <c r="AP72">
        <v>4</v>
      </c>
      <c r="AQ72">
        <v>0</v>
      </c>
      <c r="AR72">
        <v>0</v>
      </c>
      <c r="AS72">
        <v>0</v>
      </c>
      <c r="AT72" t="b">
        <v>0</v>
      </c>
      <c r="AU72" t="b">
        <v>0</v>
      </c>
      <c r="AV72">
        <v>4</v>
      </c>
      <c r="AW72" s="22" t="b">
        <v>0</v>
      </c>
      <c r="AX72" s="22" t="b">
        <v>1</v>
      </c>
      <c r="AY72" s="22">
        <v>410</v>
      </c>
      <c r="AZ72" s="22">
        <v>36</v>
      </c>
      <c r="BA72" s="30">
        <v>4897.2595471337245</v>
      </c>
      <c r="BB72" s="35">
        <v>1251.8936338289641</v>
      </c>
      <c r="BC72" s="25"/>
      <c r="BD72" s="25">
        <v>21.340548780595611</v>
      </c>
      <c r="BE72" s="25"/>
    </row>
    <row r="73" spans="1:57" x14ac:dyDescent="0.25">
      <c r="A73" t="s">
        <v>295</v>
      </c>
      <c r="B73" t="s">
        <v>386</v>
      </c>
      <c r="C73">
        <v>4</v>
      </c>
      <c r="D73">
        <v>1</v>
      </c>
      <c r="E73" t="s">
        <v>34</v>
      </c>
      <c r="F73" t="s">
        <v>412</v>
      </c>
      <c r="G73">
        <v>1</v>
      </c>
      <c r="H73">
        <v>9</v>
      </c>
      <c r="I73" s="25">
        <v>2.8719999523162842</v>
      </c>
      <c r="J73">
        <v>22.500000000000004</v>
      </c>
      <c r="K73">
        <v>22.5</v>
      </c>
      <c r="M73">
        <v>1200.0000476837158</v>
      </c>
      <c r="N73" s="25">
        <v>9.6264553491836588E-2</v>
      </c>
      <c r="O73" s="25">
        <v>2.4066138372959147E-2</v>
      </c>
      <c r="P73" s="25">
        <v>0.10070831251346769</v>
      </c>
      <c r="Q73" s="25">
        <v>2.5177078128366923E-2</v>
      </c>
      <c r="R73" s="25">
        <v>27.893040000000003</v>
      </c>
      <c r="S73" s="25">
        <v>6.9732600000000007</v>
      </c>
      <c r="T73" s="22">
        <v>4</v>
      </c>
      <c r="U73" s="22">
        <v>0</v>
      </c>
      <c r="V73" s="11">
        <v>243.5203040547089</v>
      </c>
      <c r="W73" s="22">
        <v>1</v>
      </c>
      <c r="X73" s="22">
        <v>1</v>
      </c>
      <c r="Y73" s="22" t="s">
        <v>386</v>
      </c>
      <c r="AA73" t="s">
        <v>203</v>
      </c>
      <c r="AB73" s="22">
        <v>1</v>
      </c>
      <c r="AC73" t="s">
        <v>223</v>
      </c>
      <c r="AD73" t="s">
        <v>222</v>
      </c>
      <c r="AE73" s="25">
        <v>3281.9999523162842</v>
      </c>
      <c r="AF73" s="25">
        <v>982.53813159093261</v>
      </c>
      <c r="AG73">
        <v>1</v>
      </c>
      <c r="AH73">
        <v>1</v>
      </c>
      <c r="AK73" s="25">
        <v>0.24777438603331972</v>
      </c>
      <c r="AL73" s="25">
        <v>3.1340872180874862E-2</v>
      </c>
      <c r="AM73" s="25">
        <v>4</v>
      </c>
      <c r="AN73">
        <v>0.61</v>
      </c>
      <c r="AO73">
        <v>0.08</v>
      </c>
      <c r="AP73">
        <v>4</v>
      </c>
      <c r="AQ73">
        <v>0</v>
      </c>
      <c r="AR73">
        <v>0</v>
      </c>
      <c r="AS73">
        <v>0</v>
      </c>
      <c r="AT73" t="b">
        <v>0</v>
      </c>
      <c r="AU73" t="b">
        <v>0</v>
      </c>
      <c r="AV73">
        <v>2</v>
      </c>
      <c r="AW73" s="22" t="b">
        <v>0</v>
      </c>
      <c r="AX73" s="22" t="b">
        <v>0</v>
      </c>
      <c r="AY73" s="22">
        <v>410</v>
      </c>
      <c r="AZ73" s="22">
        <v>1200.0000476837256</v>
      </c>
      <c r="BA73" s="30">
        <v>3287.1309891802139</v>
      </c>
      <c r="BB73" s="35">
        <v>902.87461658270877</v>
      </c>
      <c r="BC73" s="25"/>
      <c r="BD73" s="25">
        <v>13.693653398307926</v>
      </c>
      <c r="BE73" s="25"/>
    </row>
    <row r="74" spans="1:57" x14ac:dyDescent="0.25">
      <c r="A74" t="s">
        <v>296</v>
      </c>
      <c r="B74" t="s">
        <v>387</v>
      </c>
      <c r="C74">
        <v>3</v>
      </c>
      <c r="D74">
        <v>1</v>
      </c>
      <c r="E74" t="s">
        <v>34</v>
      </c>
      <c r="F74" t="s">
        <v>412</v>
      </c>
      <c r="G74">
        <v>1</v>
      </c>
      <c r="H74">
        <v>9</v>
      </c>
      <c r="I74" s="25">
        <v>1.7229115928779888</v>
      </c>
      <c r="J74">
        <v>22.499999999999947</v>
      </c>
      <c r="K74">
        <v>22.5</v>
      </c>
      <c r="M74">
        <v>1200.0000476837158</v>
      </c>
      <c r="N74" s="25">
        <v>4.4677934656257481E-2</v>
      </c>
      <c r="O74" s="25">
        <v>1.489264488541916E-2</v>
      </c>
      <c r="P74" s="25">
        <v>4.6785599999999997E-2</v>
      </c>
      <c r="Q74" s="25">
        <v>1.55952E-2</v>
      </c>
      <c r="R74" s="25">
        <v>4.6512000000000002</v>
      </c>
      <c r="S74" s="25">
        <v>1.5504</v>
      </c>
      <c r="T74" s="22">
        <v>1</v>
      </c>
      <c r="U74" s="22">
        <v>0</v>
      </c>
      <c r="V74" s="11">
        <v>134.1453693257061</v>
      </c>
      <c r="W74" s="22">
        <v>1</v>
      </c>
      <c r="X74" s="22">
        <v>1</v>
      </c>
      <c r="Y74" s="22" t="s">
        <v>387</v>
      </c>
      <c r="AA74" t="s">
        <v>203</v>
      </c>
      <c r="AB74" s="22">
        <v>1</v>
      </c>
      <c r="AC74" t="s">
        <v>223</v>
      </c>
      <c r="AD74" t="s">
        <v>222</v>
      </c>
      <c r="AE74" s="25">
        <v>2107.4557487552738</v>
      </c>
      <c r="AF74" s="25">
        <v>982.53813159093261</v>
      </c>
      <c r="AG74">
        <v>1</v>
      </c>
      <c r="AH74">
        <v>1</v>
      </c>
      <c r="AK74" s="25">
        <v>0.13424638622405458</v>
      </c>
      <c r="AL74" s="25">
        <v>1.6132005112864081E-2</v>
      </c>
      <c r="AM74" s="25">
        <v>2</v>
      </c>
      <c r="AN74">
        <v>0.15</v>
      </c>
      <c r="AO74">
        <v>0.02</v>
      </c>
      <c r="AP74">
        <v>1</v>
      </c>
      <c r="AQ74">
        <v>0</v>
      </c>
      <c r="AR74">
        <v>0</v>
      </c>
      <c r="AS74">
        <v>0</v>
      </c>
      <c r="AT74" t="b">
        <v>0</v>
      </c>
      <c r="AU74" t="b">
        <v>0</v>
      </c>
      <c r="AV74">
        <v>3</v>
      </c>
      <c r="AW74" s="22" t="b">
        <v>0</v>
      </c>
      <c r="AX74" s="22" t="b">
        <v>0</v>
      </c>
      <c r="AY74" s="22">
        <v>410</v>
      </c>
      <c r="AZ74" s="22">
        <v>50.911688245423647</v>
      </c>
      <c r="BA74" s="30">
        <v>2299.5181632072954</v>
      </c>
      <c r="BB74" s="35">
        <v>802.41502654619126</v>
      </c>
      <c r="BC74" s="25"/>
      <c r="BD74" s="25">
        <v>8.3385602132761107</v>
      </c>
      <c r="BE74" s="25"/>
    </row>
    <row r="75" spans="1:57" x14ac:dyDescent="0.25">
      <c r="A75" t="s">
        <v>297</v>
      </c>
      <c r="B75" t="s">
        <v>388</v>
      </c>
      <c r="C75">
        <v>3</v>
      </c>
      <c r="D75">
        <v>1</v>
      </c>
      <c r="E75" t="s">
        <v>34</v>
      </c>
      <c r="F75" t="s">
        <v>412</v>
      </c>
      <c r="G75">
        <v>1</v>
      </c>
      <c r="H75">
        <v>9</v>
      </c>
      <c r="I75" s="25">
        <v>1.6974557487552737</v>
      </c>
      <c r="J75">
        <v>22.499999999999979</v>
      </c>
      <c r="K75">
        <v>22.5</v>
      </c>
      <c r="M75">
        <v>1200.0000476837158</v>
      </c>
      <c r="N75" s="25">
        <v>2.7797811143498684E-2</v>
      </c>
      <c r="O75" s="25">
        <v>9.2659370478328958E-3</v>
      </c>
      <c r="P75" s="25">
        <v>3.11904E-2</v>
      </c>
      <c r="Q75" s="25">
        <v>1.0396799999999999E-2</v>
      </c>
      <c r="R75" s="25">
        <v>4.6512000000000002</v>
      </c>
      <c r="S75" s="25">
        <v>1.5504</v>
      </c>
      <c r="T75" s="22">
        <v>1</v>
      </c>
      <c r="U75" s="22">
        <v>0</v>
      </c>
      <c r="V75" s="11">
        <v>104.47122524912736</v>
      </c>
      <c r="W75" s="22">
        <v>1</v>
      </c>
      <c r="X75" s="22">
        <v>1</v>
      </c>
      <c r="Y75" s="22" t="s">
        <v>388</v>
      </c>
      <c r="AA75" t="s">
        <v>203</v>
      </c>
      <c r="AB75" s="22">
        <v>1</v>
      </c>
      <c r="AC75" t="s">
        <v>223</v>
      </c>
      <c r="AD75" t="s">
        <v>222</v>
      </c>
      <c r="AE75" s="25">
        <v>2107.4557487552738</v>
      </c>
      <c r="AF75" s="25">
        <v>485.48183699138463</v>
      </c>
      <c r="AG75">
        <v>1</v>
      </c>
      <c r="AH75">
        <v>1</v>
      </c>
      <c r="AK75" s="25">
        <v>0.13200000000000001</v>
      </c>
      <c r="AL75" s="25">
        <v>1.34578595705861E-2</v>
      </c>
      <c r="AM75" s="25">
        <v>2</v>
      </c>
      <c r="AN75">
        <v>0.15</v>
      </c>
      <c r="AO75">
        <v>0.02</v>
      </c>
      <c r="AP75">
        <v>1</v>
      </c>
      <c r="AQ75">
        <v>0</v>
      </c>
      <c r="AR75">
        <v>0</v>
      </c>
      <c r="AS75">
        <v>0</v>
      </c>
      <c r="AT75" t="b">
        <v>0</v>
      </c>
      <c r="AU75" t="b">
        <v>0</v>
      </c>
      <c r="AV75">
        <v>3</v>
      </c>
      <c r="AW75" s="22" t="b">
        <v>0</v>
      </c>
      <c r="AX75" s="22" t="b">
        <v>0</v>
      </c>
      <c r="AY75" s="22">
        <v>410</v>
      </c>
      <c r="AZ75" s="22">
        <v>1225.4558918064317</v>
      </c>
      <c r="BA75" s="30">
        <v>2115.4401602064872</v>
      </c>
      <c r="BB75" s="35">
        <v>432.59913703933535</v>
      </c>
      <c r="BC75" s="25"/>
      <c r="BD75" s="25">
        <v>5.1672946820936856</v>
      </c>
      <c r="BE75" s="25"/>
    </row>
    <row r="76" spans="1:57" x14ac:dyDescent="0.25">
      <c r="A76" t="s">
        <v>298</v>
      </c>
      <c r="B76" t="s">
        <v>389</v>
      </c>
      <c r="C76">
        <v>4</v>
      </c>
      <c r="D76">
        <v>1</v>
      </c>
      <c r="E76" t="s">
        <v>408</v>
      </c>
      <c r="F76" t="s">
        <v>413</v>
      </c>
      <c r="G76">
        <v>5</v>
      </c>
      <c r="H76">
        <v>1</v>
      </c>
      <c r="I76" s="25">
        <v>0.54091154519427864</v>
      </c>
      <c r="J76">
        <v>22.499999999999996</v>
      </c>
      <c r="K76">
        <v>22.5</v>
      </c>
      <c r="M76">
        <v>1200.0000476837158</v>
      </c>
      <c r="N76" s="25">
        <v>1.7816661354875345E-2</v>
      </c>
      <c r="O76" s="25">
        <v>4.4541653387188363E-3</v>
      </c>
      <c r="P76" s="25">
        <v>2.0793599999999999E-2</v>
      </c>
      <c r="Q76" s="25">
        <v>5.1983999999999997E-3</v>
      </c>
      <c r="U76" s="22">
        <v>0</v>
      </c>
      <c r="V76" s="11">
        <v>49.641836748916894</v>
      </c>
      <c r="W76" s="22">
        <v>1</v>
      </c>
      <c r="X76" s="22">
        <v>1</v>
      </c>
      <c r="Y76" s="22" t="s">
        <v>389</v>
      </c>
      <c r="AA76" t="s">
        <v>203</v>
      </c>
      <c r="AB76" s="22">
        <v>1</v>
      </c>
      <c r="AC76" t="s">
        <v>223</v>
      </c>
      <c r="AD76" t="s">
        <v>222</v>
      </c>
      <c r="AE76" s="25">
        <v>907.45570107156163</v>
      </c>
      <c r="AF76" s="25">
        <v>496.02599287033081</v>
      </c>
      <c r="AG76">
        <v>1</v>
      </c>
      <c r="AH76">
        <v>0</v>
      </c>
      <c r="AK76" s="25">
        <v>5.5E-2</v>
      </c>
      <c r="AL76" s="25">
        <v>6.0580602201830329E-3</v>
      </c>
      <c r="AM76" s="25">
        <v>1</v>
      </c>
      <c r="AP76">
        <v>0</v>
      </c>
      <c r="AQ76">
        <v>0</v>
      </c>
      <c r="AR76">
        <v>0</v>
      </c>
      <c r="AS76">
        <v>0</v>
      </c>
      <c r="AT76" t="b">
        <v>0</v>
      </c>
      <c r="AU76" t="b">
        <v>0</v>
      </c>
      <c r="AV76">
        <v>2</v>
      </c>
      <c r="AW76" s="22" t="b">
        <v>0</v>
      </c>
      <c r="AX76" s="22" t="b">
        <v>0</v>
      </c>
      <c r="AY76" s="22">
        <v>410</v>
      </c>
      <c r="AZ76" s="22">
        <v>43.455844122717053</v>
      </c>
      <c r="BA76" s="30">
        <v>1028.200678374767</v>
      </c>
      <c r="BB76" s="35">
        <v>111.00000000147628</v>
      </c>
      <c r="BC76" s="25"/>
      <c r="BD76" s="25">
        <v>2.3981523929603381</v>
      </c>
      <c r="BE76" s="25"/>
    </row>
    <row r="77" spans="1:57" x14ac:dyDescent="0.25">
      <c r="A77" t="s">
        <v>299</v>
      </c>
      <c r="B77" t="s">
        <v>386</v>
      </c>
      <c r="C77">
        <v>4</v>
      </c>
      <c r="D77">
        <v>1</v>
      </c>
      <c r="E77" t="s">
        <v>34</v>
      </c>
      <c r="F77" t="s">
        <v>412</v>
      </c>
      <c r="G77">
        <v>1</v>
      </c>
      <c r="H77">
        <v>9</v>
      </c>
      <c r="I77" s="25">
        <v>2.8719999523162842</v>
      </c>
      <c r="J77">
        <v>22.500000000000004</v>
      </c>
      <c r="K77">
        <v>22.5</v>
      </c>
      <c r="M77">
        <v>1200.0000476837158</v>
      </c>
      <c r="N77" s="25">
        <v>9.6264553491836588E-2</v>
      </c>
      <c r="O77" s="25">
        <v>2.4066138372959147E-2</v>
      </c>
      <c r="P77" s="25">
        <v>0.10070831251346769</v>
      </c>
      <c r="Q77" s="25">
        <v>2.5177078128366923E-2</v>
      </c>
      <c r="R77" s="25">
        <v>27.893040000000003</v>
      </c>
      <c r="S77" s="25">
        <v>6.9732600000000007</v>
      </c>
      <c r="T77" s="22">
        <v>4</v>
      </c>
      <c r="U77" s="22">
        <v>0</v>
      </c>
      <c r="V77" s="11">
        <v>243.5203040547089</v>
      </c>
      <c r="W77" s="22">
        <v>1</v>
      </c>
      <c r="X77" s="22">
        <v>1</v>
      </c>
      <c r="Y77" s="22" t="s">
        <v>386</v>
      </c>
      <c r="AA77" t="s">
        <v>203</v>
      </c>
      <c r="AB77" s="22">
        <v>1</v>
      </c>
      <c r="AC77" t="s">
        <v>223</v>
      </c>
      <c r="AD77" t="s">
        <v>222</v>
      </c>
      <c r="AE77" s="25">
        <v>3281.9999523162842</v>
      </c>
      <c r="AF77" s="25">
        <v>982.53813159093261</v>
      </c>
      <c r="AG77">
        <v>1</v>
      </c>
      <c r="AH77">
        <v>1</v>
      </c>
      <c r="AK77" s="25">
        <v>0.24777438603331972</v>
      </c>
      <c r="AL77" s="25">
        <v>3.1340872180874862E-2</v>
      </c>
      <c r="AM77" s="25">
        <v>4</v>
      </c>
      <c r="AN77">
        <v>0.61</v>
      </c>
      <c r="AO77">
        <v>0.08</v>
      </c>
      <c r="AP77">
        <v>4</v>
      </c>
      <c r="AQ77">
        <v>0</v>
      </c>
      <c r="AR77">
        <v>0</v>
      </c>
      <c r="AS77">
        <v>0</v>
      </c>
      <c r="AT77" t="b">
        <v>0</v>
      </c>
      <c r="AU77" t="b">
        <v>0</v>
      </c>
      <c r="AV77">
        <v>2</v>
      </c>
      <c r="AW77" s="22" t="b">
        <v>0</v>
      </c>
      <c r="AX77" s="22" t="b">
        <v>0</v>
      </c>
      <c r="AY77" s="22">
        <v>410</v>
      </c>
      <c r="AZ77" s="22">
        <v>1200.0000476837256</v>
      </c>
      <c r="BA77" s="30">
        <v>3287.1309891802139</v>
      </c>
      <c r="BB77" s="35">
        <v>902.87461658270877</v>
      </c>
      <c r="BC77" s="25"/>
      <c r="BD77" s="25">
        <v>13.693653398307926</v>
      </c>
      <c r="BE77" s="25"/>
    </row>
    <row r="78" spans="1:57" x14ac:dyDescent="0.25">
      <c r="A78" t="s">
        <v>300</v>
      </c>
      <c r="B78" t="s">
        <v>387</v>
      </c>
      <c r="C78">
        <v>3</v>
      </c>
      <c r="D78">
        <v>1</v>
      </c>
      <c r="E78" t="s">
        <v>34</v>
      </c>
      <c r="F78" t="s">
        <v>412</v>
      </c>
      <c r="G78">
        <v>1</v>
      </c>
      <c r="H78">
        <v>9</v>
      </c>
      <c r="I78" s="25">
        <v>1.7229115928779888</v>
      </c>
      <c r="J78">
        <v>22.499999999999947</v>
      </c>
      <c r="K78">
        <v>22.5</v>
      </c>
      <c r="M78">
        <v>1200.0000476837158</v>
      </c>
      <c r="N78" s="25">
        <v>4.4677934656257481E-2</v>
      </c>
      <c r="O78" s="25">
        <v>1.489264488541916E-2</v>
      </c>
      <c r="P78" s="25">
        <v>4.6785599999999997E-2</v>
      </c>
      <c r="Q78" s="25">
        <v>1.55952E-2</v>
      </c>
      <c r="R78" s="25">
        <v>4.6512000000000002</v>
      </c>
      <c r="S78" s="25">
        <v>1.5504</v>
      </c>
      <c r="T78" s="22">
        <v>1</v>
      </c>
      <c r="U78" s="22">
        <v>0</v>
      </c>
      <c r="V78" s="11">
        <v>134.1453693257061</v>
      </c>
      <c r="W78" s="22">
        <v>1</v>
      </c>
      <c r="X78" s="22">
        <v>1</v>
      </c>
      <c r="Y78" s="22" t="s">
        <v>387</v>
      </c>
      <c r="AA78" t="s">
        <v>203</v>
      </c>
      <c r="AB78" s="22">
        <v>1</v>
      </c>
      <c r="AC78" t="s">
        <v>223</v>
      </c>
      <c r="AD78" t="s">
        <v>222</v>
      </c>
      <c r="AE78" s="25">
        <v>2107.4557487552738</v>
      </c>
      <c r="AF78" s="25">
        <v>982.53813159093261</v>
      </c>
      <c r="AG78">
        <v>1</v>
      </c>
      <c r="AH78">
        <v>1</v>
      </c>
      <c r="AK78" s="25">
        <v>0.13424638622405458</v>
      </c>
      <c r="AL78" s="25">
        <v>1.6132005112864081E-2</v>
      </c>
      <c r="AM78" s="25">
        <v>2</v>
      </c>
      <c r="AN78">
        <v>0.15</v>
      </c>
      <c r="AO78">
        <v>0.02</v>
      </c>
      <c r="AP78">
        <v>1</v>
      </c>
      <c r="AQ78">
        <v>0</v>
      </c>
      <c r="AR78">
        <v>0</v>
      </c>
      <c r="AS78">
        <v>0</v>
      </c>
      <c r="AT78" t="b">
        <v>0</v>
      </c>
      <c r="AU78" t="b">
        <v>0</v>
      </c>
      <c r="AV78">
        <v>3</v>
      </c>
      <c r="AW78" s="22" t="b">
        <v>0</v>
      </c>
      <c r="AX78" s="22" t="b">
        <v>0</v>
      </c>
      <c r="AY78" s="22">
        <v>410</v>
      </c>
      <c r="AZ78" s="22">
        <v>50.911688245423647</v>
      </c>
      <c r="BA78" s="30">
        <v>2299.5181632072954</v>
      </c>
      <c r="BB78" s="35">
        <v>802.41502654619126</v>
      </c>
      <c r="BC78" s="25"/>
      <c r="BD78" s="25">
        <v>8.3385602132761107</v>
      </c>
      <c r="BE78" s="25"/>
    </row>
    <row r="79" spans="1:57" x14ac:dyDescent="0.25">
      <c r="A79" t="s">
        <v>301</v>
      </c>
      <c r="B79" t="s">
        <v>388</v>
      </c>
      <c r="C79">
        <v>3</v>
      </c>
      <c r="D79">
        <v>1</v>
      </c>
      <c r="E79" t="s">
        <v>34</v>
      </c>
      <c r="F79" t="s">
        <v>412</v>
      </c>
      <c r="G79">
        <v>1</v>
      </c>
      <c r="H79">
        <v>9</v>
      </c>
      <c r="I79" s="25">
        <v>1.6974557487552737</v>
      </c>
      <c r="J79">
        <v>22.499999999999979</v>
      </c>
      <c r="K79">
        <v>22.5</v>
      </c>
      <c r="M79">
        <v>1200.0000476837158</v>
      </c>
      <c r="N79" s="25">
        <v>2.7797811143498684E-2</v>
      </c>
      <c r="O79" s="25">
        <v>9.2659370478328958E-3</v>
      </c>
      <c r="P79" s="25">
        <v>3.11904E-2</v>
      </c>
      <c r="Q79" s="25">
        <v>1.0396799999999999E-2</v>
      </c>
      <c r="R79" s="25">
        <v>4.6512000000000002</v>
      </c>
      <c r="S79" s="25">
        <v>1.5504</v>
      </c>
      <c r="T79" s="22">
        <v>1</v>
      </c>
      <c r="U79" s="22">
        <v>0</v>
      </c>
      <c r="V79" s="11">
        <v>104.47122524912736</v>
      </c>
      <c r="W79" s="22">
        <v>1</v>
      </c>
      <c r="X79" s="22">
        <v>1</v>
      </c>
      <c r="Y79" s="22" t="s">
        <v>388</v>
      </c>
      <c r="AA79" t="s">
        <v>203</v>
      </c>
      <c r="AB79" s="22">
        <v>1</v>
      </c>
      <c r="AC79" t="s">
        <v>223</v>
      </c>
      <c r="AD79" t="s">
        <v>222</v>
      </c>
      <c r="AE79" s="25">
        <v>2107.4557487552738</v>
      </c>
      <c r="AF79" s="25">
        <v>485.48183699138463</v>
      </c>
      <c r="AG79">
        <v>1</v>
      </c>
      <c r="AH79">
        <v>1</v>
      </c>
      <c r="AK79" s="25">
        <v>0.13200000000000001</v>
      </c>
      <c r="AL79" s="25">
        <v>1.34578595705861E-2</v>
      </c>
      <c r="AM79" s="25">
        <v>2</v>
      </c>
      <c r="AN79">
        <v>0.15</v>
      </c>
      <c r="AO79">
        <v>0.02</v>
      </c>
      <c r="AP79">
        <v>1</v>
      </c>
      <c r="AQ79">
        <v>0</v>
      </c>
      <c r="AR79">
        <v>0</v>
      </c>
      <c r="AS79">
        <v>0</v>
      </c>
      <c r="AT79" t="b">
        <v>0</v>
      </c>
      <c r="AU79" t="b">
        <v>0</v>
      </c>
      <c r="AV79">
        <v>3</v>
      </c>
      <c r="AW79" s="22" t="b">
        <v>0</v>
      </c>
      <c r="AX79" s="22" t="b">
        <v>0</v>
      </c>
      <c r="AY79" s="22">
        <v>410</v>
      </c>
      <c r="AZ79" s="22">
        <v>1225.4558918064317</v>
      </c>
      <c r="BA79" s="30">
        <v>2115.4401602064872</v>
      </c>
      <c r="BB79" s="35">
        <v>432.59913703933535</v>
      </c>
      <c r="BC79" s="25"/>
      <c r="BD79" s="25">
        <v>5.1672946820936856</v>
      </c>
      <c r="BE79" s="25"/>
    </row>
    <row r="80" spans="1:57" x14ac:dyDescent="0.25">
      <c r="A80" t="s">
        <v>302</v>
      </c>
      <c r="B80" t="s">
        <v>389</v>
      </c>
      <c r="C80">
        <v>4</v>
      </c>
      <c r="D80">
        <v>1</v>
      </c>
      <c r="E80" t="s">
        <v>408</v>
      </c>
      <c r="F80" t="s">
        <v>413</v>
      </c>
      <c r="G80">
        <v>5</v>
      </c>
      <c r="H80">
        <v>1</v>
      </c>
      <c r="I80" s="25">
        <v>0.54091154519427864</v>
      </c>
      <c r="J80">
        <v>22.499999999999996</v>
      </c>
      <c r="K80">
        <v>22.5</v>
      </c>
      <c r="M80">
        <v>1200.0000476837158</v>
      </c>
      <c r="N80" s="25">
        <v>1.7816661354875345E-2</v>
      </c>
      <c r="O80" s="25">
        <v>4.4541653387188363E-3</v>
      </c>
      <c r="P80" s="25">
        <v>2.0793599999999999E-2</v>
      </c>
      <c r="Q80" s="25">
        <v>5.1983999999999997E-3</v>
      </c>
      <c r="U80" s="22">
        <v>0</v>
      </c>
      <c r="V80" s="11">
        <v>49.641836748916894</v>
      </c>
      <c r="W80" s="22">
        <v>1</v>
      </c>
      <c r="X80" s="22">
        <v>1</v>
      </c>
      <c r="Y80" s="22" t="s">
        <v>389</v>
      </c>
      <c r="AA80" t="s">
        <v>203</v>
      </c>
      <c r="AB80" s="22">
        <v>1</v>
      </c>
      <c r="AC80" t="s">
        <v>223</v>
      </c>
      <c r="AD80" t="s">
        <v>222</v>
      </c>
      <c r="AE80" s="25">
        <v>907.45570107156163</v>
      </c>
      <c r="AF80" s="25">
        <v>496.02599287033081</v>
      </c>
      <c r="AG80">
        <v>1</v>
      </c>
      <c r="AH80">
        <v>0</v>
      </c>
      <c r="AK80" s="25">
        <v>5.5E-2</v>
      </c>
      <c r="AL80" s="25">
        <v>6.0580602201830329E-3</v>
      </c>
      <c r="AM80" s="25">
        <v>1</v>
      </c>
      <c r="AP80">
        <v>0</v>
      </c>
      <c r="AQ80">
        <v>0</v>
      </c>
      <c r="AR80">
        <v>0</v>
      </c>
      <c r="AS80">
        <v>0</v>
      </c>
      <c r="AT80" t="b">
        <v>0</v>
      </c>
      <c r="AU80" t="b">
        <v>0</v>
      </c>
      <c r="AV80">
        <v>2</v>
      </c>
      <c r="AW80" s="22" t="b">
        <v>0</v>
      </c>
      <c r="AX80" s="22" t="b">
        <v>0</v>
      </c>
      <c r="AY80" s="22">
        <v>410</v>
      </c>
      <c r="AZ80" s="22">
        <v>43.455844122717053</v>
      </c>
      <c r="BA80" s="30">
        <v>1028.200678374767</v>
      </c>
      <c r="BB80" s="35">
        <v>111.00000000147628</v>
      </c>
      <c r="BC80" s="25"/>
      <c r="BD80" s="25">
        <v>2.3981523929603381</v>
      </c>
      <c r="BE80" s="25"/>
    </row>
    <row r="81" spans="1:57" x14ac:dyDescent="0.25">
      <c r="A81" t="s">
        <v>303</v>
      </c>
      <c r="B81" t="s">
        <v>390</v>
      </c>
      <c r="C81">
        <v>1</v>
      </c>
      <c r="D81">
        <v>1</v>
      </c>
      <c r="E81" t="s">
        <v>34</v>
      </c>
      <c r="F81" t="s">
        <v>409</v>
      </c>
      <c r="G81">
        <v>1</v>
      </c>
      <c r="H81">
        <v>1</v>
      </c>
      <c r="I81" s="25">
        <v>8.1199999999999992</v>
      </c>
      <c r="J81">
        <v>22.49999999999995</v>
      </c>
      <c r="K81">
        <v>22.5</v>
      </c>
      <c r="L81">
        <v>22.5</v>
      </c>
      <c r="M81">
        <v>1200.0000476837158</v>
      </c>
      <c r="N81" s="25">
        <v>9.442159650879231E-2</v>
      </c>
      <c r="O81" s="25">
        <v>9.442159650879231E-2</v>
      </c>
      <c r="P81" s="25">
        <v>0.10107989830755261</v>
      </c>
      <c r="Q81" s="25">
        <v>0.10107989830755261</v>
      </c>
      <c r="R81" s="25">
        <v>17.353360000000002</v>
      </c>
      <c r="S81" s="25">
        <v>17.353360000000002</v>
      </c>
      <c r="T81" s="22">
        <v>8</v>
      </c>
      <c r="U81" s="22">
        <v>1</v>
      </c>
      <c r="V81" s="11">
        <v>991.56986595483409</v>
      </c>
      <c r="W81" s="22">
        <v>1</v>
      </c>
      <c r="X81" s="22">
        <v>1</v>
      </c>
      <c r="Y81" s="22" t="s">
        <v>390</v>
      </c>
      <c r="AA81" t="s">
        <v>204</v>
      </c>
      <c r="AB81" s="22">
        <v>1</v>
      </c>
      <c r="AC81" t="s">
        <v>223</v>
      </c>
      <c r="AD81" t="s">
        <v>222</v>
      </c>
      <c r="AE81" s="25">
        <v>8530</v>
      </c>
      <c r="AF81" s="25">
        <v>1984.1065649092197</v>
      </c>
      <c r="AG81">
        <v>2</v>
      </c>
      <c r="AH81">
        <v>1</v>
      </c>
      <c r="AK81" s="25">
        <v>0.53951567718200555</v>
      </c>
      <c r="AL81" s="25">
        <v>8.6368092581873904E-2</v>
      </c>
      <c r="AM81" s="25">
        <v>7</v>
      </c>
      <c r="AN81">
        <v>1.48</v>
      </c>
      <c r="AO81">
        <v>0.17</v>
      </c>
      <c r="AP81">
        <v>8</v>
      </c>
      <c r="AQ81">
        <v>0</v>
      </c>
      <c r="AR81">
        <v>0</v>
      </c>
      <c r="AS81">
        <v>0</v>
      </c>
      <c r="AT81" t="b">
        <v>0</v>
      </c>
      <c r="AU81" t="b">
        <v>0</v>
      </c>
      <c r="AV81">
        <v>2</v>
      </c>
      <c r="AW81" s="22" t="b">
        <v>0</v>
      </c>
      <c r="AX81" s="22" t="b">
        <v>0</v>
      </c>
      <c r="AY81" s="22">
        <v>109.99999999999909</v>
      </c>
      <c r="AZ81" s="22">
        <v>410</v>
      </c>
      <c r="BA81" s="30">
        <v>8532.5299623853407</v>
      </c>
      <c r="BB81" s="35">
        <v>1918.1933646848768</v>
      </c>
      <c r="BC81" s="25"/>
      <c r="BD81" s="25">
        <v>58.190240895201882</v>
      </c>
      <c r="BE81" s="25"/>
    </row>
    <row r="82" spans="1:57" x14ac:dyDescent="0.25">
      <c r="A82" t="s">
        <v>304</v>
      </c>
      <c r="B82" t="s">
        <v>391</v>
      </c>
      <c r="C82">
        <v>2</v>
      </c>
      <c r="D82">
        <v>2</v>
      </c>
      <c r="E82" t="s">
        <v>34</v>
      </c>
      <c r="F82" t="s">
        <v>219</v>
      </c>
      <c r="G82">
        <v>1</v>
      </c>
      <c r="H82">
        <v>2</v>
      </c>
      <c r="I82" s="25">
        <v>8.1199999999999992</v>
      </c>
      <c r="J82">
        <v>22.499999999999989</v>
      </c>
      <c r="K82">
        <v>22.5</v>
      </c>
      <c r="L82">
        <v>22.5</v>
      </c>
      <c r="M82">
        <v>1200.0000476837158</v>
      </c>
      <c r="N82" s="25">
        <v>0.23508724287138325</v>
      </c>
      <c r="O82" s="25">
        <v>0.11754362143569162</v>
      </c>
      <c r="P82" s="25">
        <v>0.25186901820485752</v>
      </c>
      <c r="Q82" s="25">
        <v>0.12593450910242876</v>
      </c>
      <c r="R82" s="25">
        <v>67.951679999999996</v>
      </c>
      <c r="S82" s="25">
        <v>33.975839999999998</v>
      </c>
      <c r="T82" s="22">
        <v>13</v>
      </c>
      <c r="U82" s="22">
        <v>1</v>
      </c>
      <c r="V82" s="11">
        <v>2230.817384208066</v>
      </c>
      <c r="W82" s="22">
        <v>1</v>
      </c>
      <c r="X82" s="22">
        <v>1</v>
      </c>
      <c r="Y82" s="22" t="s">
        <v>391</v>
      </c>
      <c r="AA82" t="s">
        <v>204</v>
      </c>
      <c r="AB82" s="22">
        <v>1</v>
      </c>
      <c r="AC82" t="s">
        <v>223</v>
      </c>
      <c r="AD82" t="s">
        <v>222</v>
      </c>
      <c r="AE82" s="25">
        <v>8629.637942738831</v>
      </c>
      <c r="AF82" s="25">
        <v>1498.8736468013376</v>
      </c>
      <c r="AG82">
        <v>2</v>
      </c>
      <c r="AH82">
        <v>1</v>
      </c>
      <c r="AK82" s="25">
        <v>0.74003161468728174</v>
      </c>
      <c r="AL82" s="25">
        <v>0.2294993087394695</v>
      </c>
      <c r="AM82" s="25">
        <v>10</v>
      </c>
      <c r="AN82">
        <v>2.06</v>
      </c>
      <c r="AO82">
        <v>0.53166666666666662</v>
      </c>
      <c r="AP82">
        <v>13</v>
      </c>
      <c r="AQ82">
        <v>0</v>
      </c>
      <c r="AR82">
        <v>0</v>
      </c>
      <c r="AS82">
        <v>0</v>
      </c>
      <c r="AT82" t="b">
        <v>0</v>
      </c>
      <c r="AU82" t="b">
        <v>0</v>
      </c>
      <c r="AV82">
        <v>2</v>
      </c>
      <c r="AW82" s="22" t="b">
        <v>0</v>
      </c>
      <c r="AX82" s="22" t="b">
        <v>0</v>
      </c>
      <c r="AY82" s="22">
        <v>99.637942739567734</v>
      </c>
      <c r="AZ82" s="22">
        <v>410</v>
      </c>
      <c r="BA82" s="30">
        <v>8632.7120990484163</v>
      </c>
      <c r="BB82" s="35">
        <v>1450.1158698103013</v>
      </c>
      <c r="BC82" s="25"/>
      <c r="BD82" s="25">
        <v>67.467544270828398</v>
      </c>
      <c r="BE82" s="25"/>
    </row>
    <row r="83" spans="1:57" x14ac:dyDescent="0.25">
      <c r="A83" t="s">
        <v>305</v>
      </c>
      <c r="B83" t="s">
        <v>392</v>
      </c>
      <c r="C83">
        <v>1</v>
      </c>
      <c r="D83">
        <v>1</v>
      </c>
      <c r="E83" t="s">
        <v>408</v>
      </c>
      <c r="F83" t="s">
        <v>410</v>
      </c>
      <c r="G83">
        <v>5</v>
      </c>
      <c r="H83">
        <v>3</v>
      </c>
      <c r="I83" s="25">
        <v>5.7915893142285935</v>
      </c>
      <c r="J83">
        <v>16.324949936895269</v>
      </c>
      <c r="K83">
        <v>16.32</v>
      </c>
      <c r="M83">
        <v>1200.0000476837158</v>
      </c>
      <c r="N83" s="25">
        <v>2.6118040833078757E-2</v>
      </c>
      <c r="O83" s="25">
        <v>2.6118040833078757E-2</v>
      </c>
      <c r="P83" s="25">
        <v>2.8591200000000001E-2</v>
      </c>
      <c r="Q83" s="25">
        <v>2.8591200000000001E-2</v>
      </c>
      <c r="U83" s="22">
        <v>0</v>
      </c>
      <c r="V83" s="11">
        <v>298.4749718040328</v>
      </c>
      <c r="W83" s="22">
        <v>1</v>
      </c>
      <c r="X83" s="22">
        <v>1</v>
      </c>
      <c r="Y83" s="22" t="s">
        <v>392</v>
      </c>
      <c r="AA83" t="s">
        <v>204</v>
      </c>
      <c r="AB83" s="22">
        <v>1</v>
      </c>
      <c r="AC83" t="s">
        <v>223</v>
      </c>
      <c r="AD83" t="s">
        <v>222</v>
      </c>
      <c r="AE83" s="25">
        <v>5754.8197616069083</v>
      </c>
      <c r="AF83" s="25">
        <v>1801.2108787558973</v>
      </c>
      <c r="AG83">
        <v>1</v>
      </c>
      <c r="AH83">
        <v>0</v>
      </c>
      <c r="AK83" s="25">
        <v>7.0000000000000007E-2</v>
      </c>
      <c r="AL83" s="25">
        <v>1.6354019732194837E-2</v>
      </c>
      <c r="AM83" s="25">
        <v>1</v>
      </c>
      <c r="AP83">
        <v>0</v>
      </c>
      <c r="AQ83">
        <v>0</v>
      </c>
      <c r="AR83">
        <v>0</v>
      </c>
      <c r="AS83">
        <v>0</v>
      </c>
      <c r="AT83" t="b">
        <v>0</v>
      </c>
      <c r="AU83" t="b">
        <v>0</v>
      </c>
      <c r="AV83">
        <v>4</v>
      </c>
      <c r="AW83" s="22" t="b">
        <v>0</v>
      </c>
      <c r="AX83" s="22" t="b">
        <v>0</v>
      </c>
      <c r="AY83" s="22">
        <v>14.1421356237297</v>
      </c>
      <c r="AZ83" s="22">
        <v>50.911688245414553</v>
      </c>
      <c r="BA83" s="30">
        <v>6029.0952984946507</v>
      </c>
      <c r="BB83" s="35">
        <v>111.00000000032992</v>
      </c>
      <c r="BC83" s="25"/>
      <c r="BD83" s="25">
        <v>16.198548781235921</v>
      </c>
      <c r="BE83" s="25"/>
    </row>
    <row r="84" spans="1:57" x14ac:dyDescent="0.25">
      <c r="A84" t="s">
        <v>306</v>
      </c>
      <c r="B84" t="s">
        <v>383</v>
      </c>
      <c r="C84">
        <v>3</v>
      </c>
      <c r="D84">
        <v>1</v>
      </c>
      <c r="E84" t="s">
        <v>408</v>
      </c>
      <c r="F84" t="s">
        <v>410</v>
      </c>
      <c r="G84">
        <v>5</v>
      </c>
      <c r="H84">
        <v>3</v>
      </c>
      <c r="I84" s="25">
        <v>5.7915893142285348</v>
      </c>
      <c r="J84">
        <v>16.324949936895255</v>
      </c>
      <c r="K84">
        <v>16.32</v>
      </c>
      <c r="M84">
        <v>1200.0000476837158</v>
      </c>
      <c r="N84" s="25">
        <v>8.5770863146113069E-2</v>
      </c>
      <c r="O84" s="25">
        <v>2.8590287715371025E-2</v>
      </c>
      <c r="P84" s="25">
        <v>8.5773600000000005E-2</v>
      </c>
      <c r="Q84" s="25">
        <v>2.8591200000000001E-2</v>
      </c>
      <c r="U84" s="22">
        <v>0</v>
      </c>
      <c r="V84" s="11">
        <v>212.07629240406038</v>
      </c>
      <c r="W84" s="22">
        <v>1</v>
      </c>
      <c r="X84" s="22">
        <v>1</v>
      </c>
      <c r="Y84" s="22" t="s">
        <v>383</v>
      </c>
      <c r="AA84" t="s">
        <v>204</v>
      </c>
      <c r="AB84" s="22">
        <v>1</v>
      </c>
      <c r="AC84" t="s">
        <v>223</v>
      </c>
      <c r="AD84" t="s">
        <v>222</v>
      </c>
      <c r="AE84" s="25">
        <v>6302.5051865560526</v>
      </c>
      <c r="AF84" s="25">
        <v>1961.624225769192</v>
      </c>
      <c r="AG84">
        <v>1</v>
      </c>
      <c r="AH84">
        <v>0</v>
      </c>
      <c r="AK84" s="25">
        <v>7.0000000000000007E-2</v>
      </c>
      <c r="AL84" s="25">
        <v>1.752897819290079E-2</v>
      </c>
      <c r="AM84" s="25">
        <v>1</v>
      </c>
      <c r="AP84">
        <v>0</v>
      </c>
      <c r="AQ84">
        <v>0</v>
      </c>
      <c r="AR84">
        <v>0</v>
      </c>
      <c r="AS84">
        <v>0</v>
      </c>
      <c r="AT84" t="b">
        <v>0</v>
      </c>
      <c r="AU84" t="b">
        <v>0</v>
      </c>
      <c r="AV84">
        <v>4</v>
      </c>
      <c r="AW84" s="22" t="b">
        <v>0</v>
      </c>
      <c r="AX84" s="22" t="b">
        <v>0</v>
      </c>
      <c r="AY84" s="22">
        <v>561.82756057294318</v>
      </c>
      <c r="AZ84" s="22">
        <v>50.911688245432742</v>
      </c>
      <c r="BA84" s="30">
        <v>6599.7894079804137</v>
      </c>
      <c r="BB84" s="35">
        <v>111.00000000211389</v>
      </c>
      <c r="BC84" s="25"/>
      <c r="BD84" s="25">
        <v>16.03437764123829</v>
      </c>
      <c r="BE84" s="25"/>
    </row>
    <row r="85" spans="1:57" x14ac:dyDescent="0.25">
      <c r="A85" t="s">
        <v>307</v>
      </c>
      <c r="B85" t="s">
        <v>384</v>
      </c>
      <c r="C85">
        <v>4</v>
      </c>
      <c r="D85">
        <v>1</v>
      </c>
      <c r="E85" t="s">
        <v>34</v>
      </c>
      <c r="F85" t="s">
        <v>411</v>
      </c>
      <c r="G85">
        <v>1</v>
      </c>
      <c r="H85">
        <v>5</v>
      </c>
      <c r="I85" s="25">
        <v>2.8719999523162913</v>
      </c>
      <c r="J85">
        <v>22.500000000000004</v>
      </c>
      <c r="K85">
        <v>22.5</v>
      </c>
      <c r="M85">
        <v>1200.0000476837158</v>
      </c>
      <c r="N85" s="25">
        <v>0.12657849466006785</v>
      </c>
      <c r="O85" s="25">
        <v>3.1644623665016962E-2</v>
      </c>
      <c r="P85" s="25">
        <v>0.1316928</v>
      </c>
      <c r="Q85" s="25">
        <v>3.29232E-2</v>
      </c>
      <c r="R85" s="25">
        <v>37.181440000000002</v>
      </c>
      <c r="S85" s="25">
        <v>9.2953600000000005</v>
      </c>
      <c r="T85" s="22">
        <v>4</v>
      </c>
      <c r="U85" s="22">
        <v>0</v>
      </c>
      <c r="V85" s="11">
        <v>324.6213539241549</v>
      </c>
      <c r="W85" s="22">
        <v>1</v>
      </c>
      <c r="X85" s="22">
        <v>1</v>
      </c>
      <c r="Y85" s="22" t="s">
        <v>384</v>
      </c>
      <c r="AA85" t="s">
        <v>204</v>
      </c>
      <c r="AB85" s="22">
        <v>1</v>
      </c>
      <c r="AC85" t="s">
        <v>223</v>
      </c>
      <c r="AD85" t="s">
        <v>222</v>
      </c>
      <c r="AE85" s="25">
        <v>3281.9999523167462</v>
      </c>
      <c r="AF85" s="25">
        <v>1479.5944261904806</v>
      </c>
      <c r="AG85">
        <v>1</v>
      </c>
      <c r="AH85">
        <v>1</v>
      </c>
      <c r="AK85" s="25">
        <v>0.27951591622304983</v>
      </c>
      <c r="AL85" s="25">
        <v>3.4619587248151312E-2</v>
      </c>
      <c r="AM85" s="25">
        <v>4</v>
      </c>
      <c r="AN85">
        <v>0.61</v>
      </c>
      <c r="AO85">
        <v>0.08</v>
      </c>
      <c r="AP85">
        <v>4</v>
      </c>
      <c r="AQ85">
        <v>0</v>
      </c>
      <c r="AR85">
        <v>0</v>
      </c>
      <c r="AS85">
        <v>0</v>
      </c>
      <c r="AT85" t="b">
        <v>0</v>
      </c>
      <c r="AU85" t="b">
        <v>0</v>
      </c>
      <c r="AV85">
        <v>2</v>
      </c>
      <c r="AW85" s="22" t="b">
        <v>0</v>
      </c>
      <c r="AX85" s="22" t="b">
        <v>1</v>
      </c>
      <c r="AY85" s="22">
        <v>410</v>
      </c>
      <c r="AZ85" s="22">
        <v>4.5474735088646412E-10</v>
      </c>
      <c r="BA85" s="30">
        <v>3598.3888551713108</v>
      </c>
      <c r="BB85" s="35">
        <v>1251.8936338297542</v>
      </c>
      <c r="BC85" s="25"/>
      <c r="BD85" s="25">
        <v>18.1692832494115</v>
      </c>
      <c r="BE85" s="25"/>
    </row>
    <row r="86" spans="1:57" x14ac:dyDescent="0.25">
      <c r="A86" t="s">
        <v>308</v>
      </c>
      <c r="B86" t="s">
        <v>384</v>
      </c>
      <c r="C86">
        <v>4</v>
      </c>
      <c r="D86">
        <v>1</v>
      </c>
      <c r="E86" t="s">
        <v>34</v>
      </c>
      <c r="F86" t="s">
        <v>411</v>
      </c>
      <c r="G86">
        <v>1</v>
      </c>
      <c r="H86">
        <v>5</v>
      </c>
      <c r="I86" s="25">
        <v>2.8719999523162913</v>
      </c>
      <c r="J86">
        <v>22.500000000000004</v>
      </c>
      <c r="K86">
        <v>22.5</v>
      </c>
      <c r="M86">
        <v>1200.0000476837158</v>
      </c>
      <c r="N86" s="25">
        <v>0.12657849466006785</v>
      </c>
      <c r="O86" s="25">
        <v>3.1644623665016962E-2</v>
      </c>
      <c r="P86" s="25">
        <v>0.1316928</v>
      </c>
      <c r="Q86" s="25">
        <v>3.29232E-2</v>
      </c>
      <c r="R86" s="25">
        <v>37.181440000000002</v>
      </c>
      <c r="S86" s="25">
        <v>9.2953600000000005</v>
      </c>
      <c r="T86" s="22">
        <v>4</v>
      </c>
      <c r="U86" s="22">
        <v>0</v>
      </c>
      <c r="V86" s="11">
        <v>324.6213539241549</v>
      </c>
      <c r="W86" s="22">
        <v>1</v>
      </c>
      <c r="X86" s="22">
        <v>1</v>
      </c>
      <c r="Y86" s="22" t="s">
        <v>384</v>
      </c>
      <c r="AA86" t="s">
        <v>204</v>
      </c>
      <c r="AB86" s="22">
        <v>1</v>
      </c>
      <c r="AC86" t="s">
        <v>223</v>
      </c>
      <c r="AD86" t="s">
        <v>222</v>
      </c>
      <c r="AE86" s="25">
        <v>3281.9999523167462</v>
      </c>
      <c r="AF86" s="25">
        <v>1479.5944261904806</v>
      </c>
      <c r="AG86">
        <v>1</v>
      </c>
      <c r="AH86">
        <v>1</v>
      </c>
      <c r="AK86" s="25">
        <v>0.27951591622304983</v>
      </c>
      <c r="AL86" s="25">
        <v>3.4619587248151312E-2</v>
      </c>
      <c r="AM86" s="25">
        <v>4</v>
      </c>
      <c r="AN86">
        <v>0.61</v>
      </c>
      <c r="AO86">
        <v>0.08</v>
      </c>
      <c r="AP86">
        <v>4</v>
      </c>
      <c r="AQ86">
        <v>0</v>
      </c>
      <c r="AR86">
        <v>0</v>
      </c>
      <c r="AS86">
        <v>0</v>
      </c>
      <c r="AT86" t="b">
        <v>0</v>
      </c>
      <c r="AU86" t="b">
        <v>0</v>
      </c>
      <c r="AV86">
        <v>2</v>
      </c>
      <c r="AW86" s="22" t="b">
        <v>0</v>
      </c>
      <c r="AX86" s="22" t="b">
        <v>1</v>
      </c>
      <c r="AY86" s="22">
        <v>410</v>
      </c>
      <c r="AZ86" s="22">
        <v>4.5474735088646412E-10</v>
      </c>
      <c r="BA86" s="30">
        <v>3598.3888551713108</v>
      </c>
      <c r="BB86" s="35">
        <v>1251.8936338297542</v>
      </c>
      <c r="BC86" s="25"/>
      <c r="BD86" s="25">
        <v>18.1692832494115</v>
      </c>
      <c r="BE86" s="25"/>
    </row>
    <row r="87" spans="1:57" x14ac:dyDescent="0.25">
      <c r="A87" t="s">
        <v>309</v>
      </c>
      <c r="B87" t="s">
        <v>385</v>
      </c>
      <c r="C87">
        <v>2</v>
      </c>
      <c r="D87">
        <v>1</v>
      </c>
      <c r="E87" t="s">
        <v>34</v>
      </c>
      <c r="F87" t="s">
        <v>411</v>
      </c>
      <c r="G87">
        <v>1</v>
      </c>
      <c r="H87">
        <v>5</v>
      </c>
      <c r="I87" s="25">
        <v>4.1079999999999997</v>
      </c>
      <c r="J87">
        <v>22.5</v>
      </c>
      <c r="K87">
        <v>22.5</v>
      </c>
      <c r="M87">
        <v>1200.0000476837158</v>
      </c>
      <c r="N87" s="25">
        <v>7.4542663005189885E-2</v>
      </c>
      <c r="O87" s="25">
        <v>3.7271331502594943E-2</v>
      </c>
      <c r="P87" s="25">
        <v>8.1441600000000003E-2</v>
      </c>
      <c r="Q87" s="25">
        <v>4.0720800000000001E-2</v>
      </c>
      <c r="R87" s="25">
        <v>18.590720000000001</v>
      </c>
      <c r="S87" s="25">
        <v>9.2953600000000005</v>
      </c>
      <c r="T87" s="22">
        <v>4</v>
      </c>
      <c r="U87" s="22">
        <v>0</v>
      </c>
      <c r="V87" s="11">
        <v>391.18372506972446</v>
      </c>
      <c r="W87" s="22">
        <v>1</v>
      </c>
      <c r="X87" s="22">
        <v>1</v>
      </c>
      <c r="Y87" s="22" t="s">
        <v>385</v>
      </c>
      <c r="AA87" t="s">
        <v>204</v>
      </c>
      <c r="AB87" s="22">
        <v>1</v>
      </c>
      <c r="AC87" t="s">
        <v>223</v>
      </c>
      <c r="AD87" t="s">
        <v>222</v>
      </c>
      <c r="AE87" s="25">
        <v>4482</v>
      </c>
      <c r="AF87" s="25">
        <v>1976.6507207881659</v>
      </c>
      <c r="AG87">
        <v>1</v>
      </c>
      <c r="AH87">
        <v>1</v>
      </c>
      <c r="AK87" s="25">
        <v>0.28252799980926513</v>
      </c>
      <c r="AL87" s="25">
        <v>3.7293732790424562E-2</v>
      </c>
      <c r="AM87" s="25">
        <v>4</v>
      </c>
      <c r="AN87">
        <v>0.61</v>
      </c>
      <c r="AO87">
        <v>0.08</v>
      </c>
      <c r="AP87">
        <v>4</v>
      </c>
      <c r="AQ87">
        <v>0</v>
      </c>
      <c r="AR87">
        <v>0</v>
      </c>
      <c r="AS87">
        <v>0</v>
      </c>
      <c r="AT87" t="b">
        <v>0</v>
      </c>
      <c r="AU87" t="b">
        <v>0</v>
      </c>
      <c r="AV87">
        <v>4</v>
      </c>
      <c r="AW87" s="22" t="b">
        <v>0</v>
      </c>
      <c r="AX87" s="22" t="b">
        <v>1</v>
      </c>
      <c r="AY87" s="22">
        <v>410</v>
      </c>
      <c r="AZ87" s="22">
        <v>36</v>
      </c>
      <c r="BA87" s="30">
        <v>4897.2595471337245</v>
      </c>
      <c r="BB87" s="35">
        <v>1251.8936338289641</v>
      </c>
      <c r="BC87" s="25"/>
      <c r="BD87" s="25">
        <v>21.340548780595611</v>
      </c>
      <c r="BE87" s="25"/>
    </row>
    <row r="88" spans="1:57" x14ac:dyDescent="0.25">
      <c r="A88" t="s">
        <v>310</v>
      </c>
      <c r="B88" t="s">
        <v>386</v>
      </c>
      <c r="C88">
        <v>4</v>
      </c>
      <c r="D88">
        <v>1</v>
      </c>
      <c r="E88" t="s">
        <v>34</v>
      </c>
      <c r="F88" t="s">
        <v>412</v>
      </c>
      <c r="G88">
        <v>1</v>
      </c>
      <c r="H88">
        <v>9</v>
      </c>
      <c r="I88" s="25">
        <v>2.8719999523162842</v>
      </c>
      <c r="J88">
        <v>22.500000000000004</v>
      </c>
      <c r="K88">
        <v>22.5</v>
      </c>
      <c r="M88">
        <v>1200.0000476837158</v>
      </c>
      <c r="N88" s="25">
        <v>9.6264553491836588E-2</v>
      </c>
      <c r="O88" s="25">
        <v>2.4066138372959147E-2</v>
      </c>
      <c r="P88" s="25">
        <v>0.10070831251346769</v>
      </c>
      <c r="Q88" s="25">
        <v>2.5177078128366923E-2</v>
      </c>
      <c r="R88" s="25">
        <v>27.893040000000003</v>
      </c>
      <c r="S88" s="25">
        <v>6.9732600000000007</v>
      </c>
      <c r="T88" s="22">
        <v>4</v>
      </c>
      <c r="U88" s="22">
        <v>0</v>
      </c>
      <c r="V88" s="11">
        <v>243.5203040547089</v>
      </c>
      <c r="W88" s="22">
        <v>1</v>
      </c>
      <c r="X88" s="22">
        <v>1</v>
      </c>
      <c r="Y88" s="22" t="s">
        <v>386</v>
      </c>
      <c r="AA88" t="s">
        <v>204</v>
      </c>
      <c r="AB88" s="22">
        <v>1</v>
      </c>
      <c r="AC88" t="s">
        <v>223</v>
      </c>
      <c r="AD88" t="s">
        <v>222</v>
      </c>
      <c r="AE88" s="25">
        <v>3281.9999523162842</v>
      </c>
      <c r="AF88" s="25">
        <v>982.53813159093261</v>
      </c>
      <c r="AG88">
        <v>1</v>
      </c>
      <c r="AH88">
        <v>1</v>
      </c>
      <c r="AK88" s="25">
        <v>0.24777438603331972</v>
      </c>
      <c r="AL88" s="25">
        <v>3.1340872180874862E-2</v>
      </c>
      <c r="AM88" s="25">
        <v>4</v>
      </c>
      <c r="AN88">
        <v>0.61</v>
      </c>
      <c r="AO88">
        <v>0.08</v>
      </c>
      <c r="AP88">
        <v>4</v>
      </c>
      <c r="AQ88">
        <v>0</v>
      </c>
      <c r="AR88">
        <v>0</v>
      </c>
      <c r="AS88">
        <v>0</v>
      </c>
      <c r="AT88" t="b">
        <v>0</v>
      </c>
      <c r="AU88" t="b">
        <v>0</v>
      </c>
      <c r="AV88">
        <v>2</v>
      </c>
      <c r="AW88" s="22" t="b">
        <v>0</v>
      </c>
      <c r="AX88" s="22" t="b">
        <v>0</v>
      </c>
      <c r="AY88" s="22">
        <v>410</v>
      </c>
      <c r="AZ88" s="22">
        <v>1200.0000476837256</v>
      </c>
      <c r="BA88" s="30">
        <v>3287.1309891802139</v>
      </c>
      <c r="BB88" s="35">
        <v>902.87461658270877</v>
      </c>
      <c r="BC88" s="25"/>
      <c r="BD88" s="25">
        <v>13.693653398307926</v>
      </c>
      <c r="BE88" s="25"/>
    </row>
    <row r="89" spans="1:57" x14ac:dyDescent="0.25">
      <c r="A89" t="s">
        <v>311</v>
      </c>
      <c r="B89" t="s">
        <v>393</v>
      </c>
      <c r="C89">
        <v>1</v>
      </c>
      <c r="D89">
        <v>1</v>
      </c>
      <c r="E89" t="s">
        <v>34</v>
      </c>
      <c r="F89" t="s">
        <v>412</v>
      </c>
      <c r="G89">
        <v>1</v>
      </c>
      <c r="H89">
        <v>9</v>
      </c>
      <c r="I89" s="25">
        <v>1.662911592878022</v>
      </c>
      <c r="J89">
        <v>22.5</v>
      </c>
      <c r="K89">
        <v>22.5</v>
      </c>
      <c r="M89">
        <v>1200.0000476837158</v>
      </c>
      <c r="N89" s="25">
        <v>1.3355012815879756E-2</v>
      </c>
      <c r="O89" s="25">
        <v>1.3355012815879756E-2</v>
      </c>
      <c r="P89" s="25">
        <v>1.438010327722858E-2</v>
      </c>
      <c r="Q89" s="25">
        <v>1.438010327722858E-2</v>
      </c>
      <c r="R89" s="25">
        <v>2.3104</v>
      </c>
      <c r="S89" s="25">
        <v>2.3104</v>
      </c>
      <c r="T89" s="22">
        <v>1</v>
      </c>
      <c r="U89" s="22">
        <v>0</v>
      </c>
      <c r="V89" s="11">
        <v>205.40083824678538</v>
      </c>
      <c r="W89" s="22">
        <v>1</v>
      </c>
      <c r="X89" s="22">
        <v>1</v>
      </c>
      <c r="Y89" s="22" t="s">
        <v>393</v>
      </c>
      <c r="AA89" t="s">
        <v>204</v>
      </c>
      <c r="AB89" s="22">
        <v>1</v>
      </c>
      <c r="AC89" t="s">
        <v>223</v>
      </c>
      <c r="AD89" t="s">
        <v>222</v>
      </c>
      <c r="AE89" s="25">
        <v>1637.4557487552956</v>
      </c>
      <c r="AF89" s="25">
        <v>857.98361025005579</v>
      </c>
      <c r="AG89">
        <v>1</v>
      </c>
      <c r="AH89">
        <v>1</v>
      </c>
      <c r="AK89" s="25">
        <v>0.187</v>
      </c>
      <c r="AL89" s="25">
        <v>2.0695383838396662E-2</v>
      </c>
      <c r="AM89" s="25">
        <v>3</v>
      </c>
      <c r="AN89">
        <v>0.15</v>
      </c>
      <c r="AO89">
        <v>0.02</v>
      </c>
      <c r="AP89">
        <v>1</v>
      </c>
      <c r="AQ89">
        <v>0</v>
      </c>
      <c r="AR89">
        <v>0</v>
      </c>
      <c r="AS89">
        <v>0</v>
      </c>
      <c r="AT89" t="b">
        <v>0</v>
      </c>
      <c r="AU89" t="b">
        <v>0</v>
      </c>
      <c r="AV89">
        <v>3</v>
      </c>
      <c r="AW89" s="22" t="b">
        <v>0</v>
      </c>
      <c r="AX89" s="22" t="b">
        <v>0</v>
      </c>
      <c r="AY89" s="22">
        <v>110</v>
      </c>
      <c r="AZ89" s="22">
        <v>50.911688245439564</v>
      </c>
      <c r="BA89" s="30">
        <v>1817.6298311834346</v>
      </c>
      <c r="BB89" s="35">
        <v>802.41502654320982</v>
      </c>
      <c r="BC89" s="25"/>
      <c r="BD89" s="25">
        <v>7.4415620113944554</v>
      </c>
      <c r="BE89" s="25"/>
    </row>
    <row r="90" spans="1:57" x14ac:dyDescent="0.25">
      <c r="A90" t="s">
        <v>312</v>
      </c>
      <c r="B90" t="s">
        <v>394</v>
      </c>
      <c r="C90">
        <v>1</v>
      </c>
      <c r="D90">
        <v>1</v>
      </c>
      <c r="E90" t="s">
        <v>34</v>
      </c>
      <c r="F90" t="s">
        <v>412</v>
      </c>
      <c r="G90">
        <v>1</v>
      </c>
      <c r="H90">
        <v>9</v>
      </c>
      <c r="I90" s="25">
        <v>1.6374557487552956</v>
      </c>
      <c r="J90">
        <v>22.500000000000227</v>
      </c>
      <c r="K90">
        <v>22.5</v>
      </c>
      <c r="M90">
        <v>1200.0000476837158</v>
      </c>
      <c r="N90" s="25">
        <v>7.7283049782964994E-3</v>
      </c>
      <c r="O90" s="25">
        <v>7.7283049782964994E-3</v>
      </c>
      <c r="P90" s="25">
        <v>8.1977327758912047E-3</v>
      </c>
      <c r="Q90" s="25">
        <v>8.1977327758912047E-3</v>
      </c>
      <c r="R90" s="25">
        <v>2.3104</v>
      </c>
      <c r="S90" s="25">
        <v>2.3104</v>
      </c>
      <c r="T90" s="22">
        <v>1</v>
      </c>
      <c r="U90" s="22">
        <v>0</v>
      </c>
      <c r="V90" s="11">
        <v>167.80978533038495</v>
      </c>
      <c r="W90" s="22">
        <v>1</v>
      </c>
      <c r="X90" s="22">
        <v>1</v>
      </c>
      <c r="Y90" s="22" t="s">
        <v>394</v>
      </c>
      <c r="AA90" t="s">
        <v>204</v>
      </c>
      <c r="AB90" s="22">
        <v>1</v>
      </c>
      <c r="AC90" t="s">
        <v>223</v>
      </c>
      <c r="AD90" t="s">
        <v>222</v>
      </c>
      <c r="AE90" s="25">
        <v>1637.4557487552956</v>
      </c>
      <c r="AF90" s="25">
        <v>360.92731565237045</v>
      </c>
      <c r="AG90">
        <v>1</v>
      </c>
      <c r="AH90">
        <v>1</v>
      </c>
      <c r="AK90" s="25">
        <v>0.187</v>
      </c>
      <c r="AL90" s="25">
        <v>1.9312408894496196E-2</v>
      </c>
      <c r="AM90" s="25">
        <v>3</v>
      </c>
      <c r="AN90">
        <v>0.15</v>
      </c>
      <c r="AO90">
        <v>0.02</v>
      </c>
      <c r="AP90">
        <v>1</v>
      </c>
      <c r="AQ90">
        <v>0</v>
      </c>
      <c r="AR90">
        <v>0</v>
      </c>
      <c r="AS90">
        <v>0</v>
      </c>
      <c r="AT90" t="b">
        <v>0</v>
      </c>
      <c r="AU90" t="b">
        <v>0</v>
      </c>
      <c r="AV90">
        <v>3</v>
      </c>
      <c r="AW90" s="22" t="b">
        <v>0</v>
      </c>
      <c r="AX90" s="22" t="b">
        <v>0</v>
      </c>
      <c r="AY90" s="22">
        <v>110</v>
      </c>
      <c r="AZ90" s="22">
        <v>1225.4558918065559</v>
      </c>
      <c r="BA90" s="30">
        <v>1637.4557487552956</v>
      </c>
      <c r="BB90" s="35">
        <v>360.92731565237045</v>
      </c>
      <c r="BC90" s="25"/>
      <c r="BD90" s="25">
        <v>4.2702964802147045</v>
      </c>
      <c r="BE90" s="25"/>
    </row>
    <row r="91" spans="1:57" x14ac:dyDescent="0.25">
      <c r="A91" t="s">
        <v>313</v>
      </c>
      <c r="B91" t="s">
        <v>389</v>
      </c>
      <c r="C91">
        <v>4</v>
      </c>
      <c r="D91">
        <v>1</v>
      </c>
      <c r="E91" t="s">
        <v>408</v>
      </c>
      <c r="F91" t="s">
        <v>413</v>
      </c>
      <c r="G91">
        <v>5</v>
      </c>
      <c r="H91">
        <v>1</v>
      </c>
      <c r="I91" s="25">
        <v>0.54091154519427864</v>
      </c>
      <c r="J91">
        <v>22.499999999999996</v>
      </c>
      <c r="K91">
        <v>22.5</v>
      </c>
      <c r="M91">
        <v>1200.0000476837158</v>
      </c>
      <c r="N91" s="25">
        <v>1.7816661354875345E-2</v>
      </c>
      <c r="O91" s="25">
        <v>4.4541653387188363E-3</v>
      </c>
      <c r="P91" s="25">
        <v>2.0793599999999999E-2</v>
      </c>
      <c r="Q91" s="25">
        <v>5.1983999999999997E-3</v>
      </c>
      <c r="U91" s="22">
        <v>0</v>
      </c>
      <c r="V91" s="11">
        <v>49.641836748916894</v>
      </c>
      <c r="W91" s="22">
        <v>1</v>
      </c>
      <c r="X91" s="22">
        <v>1</v>
      </c>
      <c r="Y91" s="22" t="s">
        <v>389</v>
      </c>
      <c r="AA91" t="s">
        <v>204</v>
      </c>
      <c r="AB91" s="22">
        <v>1</v>
      </c>
      <c r="AC91" t="s">
        <v>223</v>
      </c>
      <c r="AD91" t="s">
        <v>222</v>
      </c>
      <c r="AE91" s="25">
        <v>907.45570107156163</v>
      </c>
      <c r="AF91" s="25">
        <v>496.02599287033081</v>
      </c>
      <c r="AG91">
        <v>1</v>
      </c>
      <c r="AH91">
        <v>0</v>
      </c>
      <c r="AK91" s="25">
        <v>5.5E-2</v>
      </c>
      <c r="AL91" s="25">
        <v>6.0580602201830329E-3</v>
      </c>
      <c r="AM91" s="25">
        <v>1</v>
      </c>
      <c r="AP91">
        <v>0</v>
      </c>
      <c r="AQ91">
        <v>0</v>
      </c>
      <c r="AR91">
        <v>0</v>
      </c>
      <c r="AS91">
        <v>0</v>
      </c>
      <c r="AT91" t="b">
        <v>0</v>
      </c>
      <c r="AU91" t="b">
        <v>0</v>
      </c>
      <c r="AV91">
        <v>2</v>
      </c>
      <c r="AW91" s="22" t="b">
        <v>0</v>
      </c>
      <c r="AX91" s="22" t="b">
        <v>0</v>
      </c>
      <c r="AY91" s="22">
        <v>410</v>
      </c>
      <c r="AZ91" s="22">
        <v>43.455844122717053</v>
      </c>
      <c r="BA91" s="30">
        <v>1028.200678374767</v>
      </c>
      <c r="BB91" s="35">
        <v>111.00000000147628</v>
      </c>
      <c r="BC91" s="25"/>
      <c r="BD91" s="25">
        <v>2.3981523929603381</v>
      </c>
      <c r="BE91" s="25"/>
    </row>
    <row r="92" spans="1:57" x14ac:dyDescent="0.25">
      <c r="A92" t="s">
        <v>314</v>
      </c>
      <c r="B92" t="s">
        <v>386</v>
      </c>
      <c r="C92">
        <v>4</v>
      </c>
      <c r="D92">
        <v>1</v>
      </c>
      <c r="E92" t="s">
        <v>34</v>
      </c>
      <c r="F92" t="s">
        <v>412</v>
      </c>
      <c r="G92">
        <v>1</v>
      </c>
      <c r="H92">
        <v>9</v>
      </c>
      <c r="I92" s="25">
        <v>2.8719999523162842</v>
      </c>
      <c r="J92">
        <v>22.500000000000004</v>
      </c>
      <c r="K92">
        <v>22.5</v>
      </c>
      <c r="M92">
        <v>1200.0000476837158</v>
      </c>
      <c r="N92" s="25">
        <v>9.6264553491836588E-2</v>
      </c>
      <c r="O92" s="25">
        <v>2.4066138372959147E-2</v>
      </c>
      <c r="P92" s="25">
        <v>0.10070831251346769</v>
      </c>
      <c r="Q92" s="25">
        <v>2.5177078128366923E-2</v>
      </c>
      <c r="R92" s="25">
        <v>27.893040000000003</v>
      </c>
      <c r="S92" s="25">
        <v>6.9732600000000007</v>
      </c>
      <c r="T92" s="22">
        <v>4</v>
      </c>
      <c r="U92" s="22">
        <v>0</v>
      </c>
      <c r="V92" s="11">
        <v>243.5203040547089</v>
      </c>
      <c r="W92" s="22">
        <v>1</v>
      </c>
      <c r="X92" s="22">
        <v>1</v>
      </c>
      <c r="Y92" s="22" t="s">
        <v>386</v>
      </c>
      <c r="AA92" t="s">
        <v>204</v>
      </c>
      <c r="AB92" s="22">
        <v>1</v>
      </c>
      <c r="AC92" t="s">
        <v>223</v>
      </c>
      <c r="AD92" t="s">
        <v>222</v>
      </c>
      <c r="AE92" s="25">
        <v>3281.9999523162842</v>
      </c>
      <c r="AF92" s="25">
        <v>982.53813159093261</v>
      </c>
      <c r="AG92">
        <v>1</v>
      </c>
      <c r="AH92">
        <v>1</v>
      </c>
      <c r="AK92" s="25">
        <v>0.24777438603331972</v>
      </c>
      <c r="AL92" s="25">
        <v>3.1340872180874862E-2</v>
      </c>
      <c r="AM92" s="25">
        <v>4</v>
      </c>
      <c r="AN92">
        <v>0.61</v>
      </c>
      <c r="AO92">
        <v>0.08</v>
      </c>
      <c r="AP92">
        <v>4</v>
      </c>
      <c r="AQ92">
        <v>0</v>
      </c>
      <c r="AR92">
        <v>0</v>
      </c>
      <c r="AS92">
        <v>0</v>
      </c>
      <c r="AT92" t="b">
        <v>0</v>
      </c>
      <c r="AU92" t="b">
        <v>0</v>
      </c>
      <c r="AV92">
        <v>2</v>
      </c>
      <c r="AW92" s="22" t="b">
        <v>0</v>
      </c>
      <c r="AX92" s="22" t="b">
        <v>0</v>
      </c>
      <c r="AY92" s="22">
        <v>410</v>
      </c>
      <c r="AZ92" s="22">
        <v>1200.0000476837256</v>
      </c>
      <c r="BA92" s="30">
        <v>3287.1309891802139</v>
      </c>
      <c r="BB92" s="35">
        <v>902.87461658270877</v>
      </c>
      <c r="BC92" s="25"/>
      <c r="BD92" s="25">
        <v>13.693653398307926</v>
      </c>
      <c r="BE92" s="25"/>
    </row>
    <row r="93" spans="1:57" x14ac:dyDescent="0.25">
      <c r="A93" t="s">
        <v>315</v>
      </c>
      <c r="B93" t="s">
        <v>387</v>
      </c>
      <c r="C93">
        <v>3</v>
      </c>
      <c r="D93">
        <v>1</v>
      </c>
      <c r="E93" t="s">
        <v>34</v>
      </c>
      <c r="F93" t="s">
        <v>412</v>
      </c>
      <c r="G93">
        <v>1</v>
      </c>
      <c r="H93">
        <v>9</v>
      </c>
      <c r="I93" s="25">
        <v>1.7229115928779888</v>
      </c>
      <c r="J93">
        <v>22.499999999999947</v>
      </c>
      <c r="K93">
        <v>22.5</v>
      </c>
      <c r="M93">
        <v>1200.0000476837158</v>
      </c>
      <c r="N93" s="25">
        <v>4.4677934656257481E-2</v>
      </c>
      <c r="O93" s="25">
        <v>1.489264488541916E-2</v>
      </c>
      <c r="P93" s="25">
        <v>4.6785599999999997E-2</v>
      </c>
      <c r="Q93" s="25">
        <v>1.55952E-2</v>
      </c>
      <c r="R93" s="25">
        <v>4.6512000000000002</v>
      </c>
      <c r="S93" s="25">
        <v>1.5504</v>
      </c>
      <c r="T93" s="22">
        <v>1</v>
      </c>
      <c r="U93" s="22">
        <v>0</v>
      </c>
      <c r="V93" s="11">
        <v>134.1453693257061</v>
      </c>
      <c r="W93" s="22">
        <v>1</v>
      </c>
      <c r="X93" s="22">
        <v>1</v>
      </c>
      <c r="Y93" s="22" t="s">
        <v>387</v>
      </c>
      <c r="AA93" t="s">
        <v>204</v>
      </c>
      <c r="AB93" s="22">
        <v>1</v>
      </c>
      <c r="AC93" t="s">
        <v>223</v>
      </c>
      <c r="AD93" t="s">
        <v>222</v>
      </c>
      <c r="AE93" s="25">
        <v>2107.4557487552738</v>
      </c>
      <c r="AF93" s="25">
        <v>982.53813159093261</v>
      </c>
      <c r="AG93">
        <v>1</v>
      </c>
      <c r="AH93">
        <v>1</v>
      </c>
      <c r="AK93" s="25">
        <v>0.13424638622405458</v>
      </c>
      <c r="AL93" s="25">
        <v>1.6132005112864081E-2</v>
      </c>
      <c r="AM93" s="25">
        <v>2</v>
      </c>
      <c r="AN93">
        <v>0.15</v>
      </c>
      <c r="AO93">
        <v>0.02</v>
      </c>
      <c r="AP93">
        <v>1</v>
      </c>
      <c r="AQ93">
        <v>0</v>
      </c>
      <c r="AR93">
        <v>0</v>
      </c>
      <c r="AS93">
        <v>0</v>
      </c>
      <c r="AT93" t="b">
        <v>0</v>
      </c>
      <c r="AU93" t="b">
        <v>0</v>
      </c>
      <c r="AV93">
        <v>3</v>
      </c>
      <c r="AW93" s="22" t="b">
        <v>0</v>
      </c>
      <c r="AX93" s="22" t="b">
        <v>0</v>
      </c>
      <c r="AY93" s="22">
        <v>410</v>
      </c>
      <c r="AZ93" s="22">
        <v>50.911688245423647</v>
      </c>
      <c r="BA93" s="30">
        <v>2299.5181632072954</v>
      </c>
      <c r="BB93" s="35">
        <v>802.41502654619126</v>
      </c>
      <c r="BC93" s="25"/>
      <c r="BD93" s="25">
        <v>8.3385602132761107</v>
      </c>
      <c r="BE93" s="25"/>
    </row>
    <row r="94" spans="1:57" x14ac:dyDescent="0.25">
      <c r="A94" t="s">
        <v>316</v>
      </c>
      <c r="B94" t="s">
        <v>388</v>
      </c>
      <c r="C94">
        <v>3</v>
      </c>
      <c r="D94">
        <v>1</v>
      </c>
      <c r="E94" t="s">
        <v>34</v>
      </c>
      <c r="F94" t="s">
        <v>412</v>
      </c>
      <c r="G94">
        <v>1</v>
      </c>
      <c r="H94">
        <v>9</v>
      </c>
      <c r="I94" s="25">
        <v>1.6974557487552737</v>
      </c>
      <c r="J94">
        <v>22.499999999999979</v>
      </c>
      <c r="K94">
        <v>22.5</v>
      </c>
      <c r="M94">
        <v>1200.0000476837158</v>
      </c>
      <c r="N94" s="25">
        <v>2.7797811143498684E-2</v>
      </c>
      <c r="O94" s="25">
        <v>9.2659370478328958E-3</v>
      </c>
      <c r="P94" s="25">
        <v>3.11904E-2</v>
      </c>
      <c r="Q94" s="25">
        <v>1.0396799999999999E-2</v>
      </c>
      <c r="R94" s="25">
        <v>4.6512000000000002</v>
      </c>
      <c r="S94" s="25">
        <v>1.5504</v>
      </c>
      <c r="T94" s="22">
        <v>1</v>
      </c>
      <c r="U94" s="22">
        <v>0</v>
      </c>
      <c r="V94" s="11">
        <v>104.47122524912736</v>
      </c>
      <c r="W94" s="22">
        <v>1</v>
      </c>
      <c r="X94" s="22">
        <v>1</v>
      </c>
      <c r="Y94" s="22" t="s">
        <v>388</v>
      </c>
      <c r="AA94" t="s">
        <v>204</v>
      </c>
      <c r="AB94" s="22">
        <v>1</v>
      </c>
      <c r="AC94" t="s">
        <v>223</v>
      </c>
      <c r="AD94" t="s">
        <v>222</v>
      </c>
      <c r="AE94" s="25">
        <v>2107.4557487552738</v>
      </c>
      <c r="AF94" s="25">
        <v>485.48183699138463</v>
      </c>
      <c r="AG94">
        <v>1</v>
      </c>
      <c r="AH94">
        <v>1</v>
      </c>
      <c r="AK94" s="25">
        <v>0.13200000000000001</v>
      </c>
      <c r="AL94" s="25">
        <v>1.34578595705861E-2</v>
      </c>
      <c r="AM94" s="25">
        <v>2</v>
      </c>
      <c r="AN94">
        <v>0.15</v>
      </c>
      <c r="AO94">
        <v>0.02</v>
      </c>
      <c r="AP94">
        <v>1</v>
      </c>
      <c r="AQ94">
        <v>0</v>
      </c>
      <c r="AR94">
        <v>0</v>
      </c>
      <c r="AS94">
        <v>0</v>
      </c>
      <c r="AT94" t="b">
        <v>0</v>
      </c>
      <c r="AU94" t="b">
        <v>0</v>
      </c>
      <c r="AV94">
        <v>3</v>
      </c>
      <c r="AW94" s="22" t="b">
        <v>0</v>
      </c>
      <c r="AX94" s="22" t="b">
        <v>0</v>
      </c>
      <c r="AY94" s="22">
        <v>410</v>
      </c>
      <c r="AZ94" s="22">
        <v>1225.4558918064317</v>
      </c>
      <c r="BA94" s="30">
        <v>2115.4401602064872</v>
      </c>
      <c r="BB94" s="35">
        <v>432.59913703933535</v>
      </c>
      <c r="BC94" s="25"/>
      <c r="BD94" s="25">
        <v>5.1672946820936856</v>
      </c>
      <c r="BE94" s="25"/>
    </row>
    <row r="95" spans="1:57" x14ac:dyDescent="0.25">
      <c r="A95" t="s">
        <v>317</v>
      </c>
      <c r="B95" t="s">
        <v>389</v>
      </c>
      <c r="C95">
        <v>4</v>
      </c>
      <c r="D95">
        <v>1</v>
      </c>
      <c r="E95" t="s">
        <v>408</v>
      </c>
      <c r="F95" t="s">
        <v>413</v>
      </c>
      <c r="G95">
        <v>5</v>
      </c>
      <c r="H95">
        <v>1</v>
      </c>
      <c r="I95" s="25">
        <v>0.54091154519427864</v>
      </c>
      <c r="J95">
        <v>22.499999999999996</v>
      </c>
      <c r="K95">
        <v>22.5</v>
      </c>
      <c r="M95">
        <v>1200.0000476837158</v>
      </c>
      <c r="N95" s="25">
        <v>1.7816661354875345E-2</v>
      </c>
      <c r="O95" s="25">
        <v>4.4541653387188363E-3</v>
      </c>
      <c r="P95" s="25">
        <v>2.0793599999999999E-2</v>
      </c>
      <c r="Q95" s="25">
        <v>5.1983999999999997E-3</v>
      </c>
      <c r="U95" s="22">
        <v>0</v>
      </c>
      <c r="V95" s="11">
        <v>49.641836748916894</v>
      </c>
      <c r="W95" s="22">
        <v>1</v>
      </c>
      <c r="X95" s="22">
        <v>1</v>
      </c>
      <c r="Y95" s="22" t="s">
        <v>389</v>
      </c>
      <c r="AA95" t="s">
        <v>204</v>
      </c>
      <c r="AB95" s="22">
        <v>1</v>
      </c>
      <c r="AC95" t="s">
        <v>223</v>
      </c>
      <c r="AD95" t="s">
        <v>222</v>
      </c>
      <c r="AE95" s="25">
        <v>907.45570107156163</v>
      </c>
      <c r="AF95" s="25">
        <v>496.02599287033081</v>
      </c>
      <c r="AG95">
        <v>1</v>
      </c>
      <c r="AH95">
        <v>0</v>
      </c>
      <c r="AK95" s="25">
        <v>5.5E-2</v>
      </c>
      <c r="AL95" s="25">
        <v>6.0580602201830329E-3</v>
      </c>
      <c r="AM95" s="25">
        <v>1</v>
      </c>
      <c r="AP95">
        <v>0</v>
      </c>
      <c r="AQ95">
        <v>0</v>
      </c>
      <c r="AR95">
        <v>0</v>
      </c>
      <c r="AS95">
        <v>0</v>
      </c>
      <c r="AT95" t="b">
        <v>0</v>
      </c>
      <c r="AU95" t="b">
        <v>0</v>
      </c>
      <c r="AV95">
        <v>2</v>
      </c>
      <c r="AW95" s="22" t="b">
        <v>0</v>
      </c>
      <c r="AX95" s="22" t="b">
        <v>0</v>
      </c>
      <c r="AY95" s="22">
        <v>410</v>
      </c>
      <c r="AZ95" s="22">
        <v>43.455844122717053</v>
      </c>
      <c r="BA95" s="30">
        <v>1028.200678374767</v>
      </c>
      <c r="BB95" s="35">
        <v>111.00000000147628</v>
      </c>
      <c r="BC95" s="25"/>
      <c r="BD95" s="25">
        <v>2.3981523929603381</v>
      </c>
      <c r="BE95" s="25"/>
    </row>
    <row r="96" spans="1:57" x14ac:dyDescent="0.25">
      <c r="A96" t="s">
        <v>318</v>
      </c>
      <c r="B96" t="s">
        <v>395</v>
      </c>
      <c r="C96">
        <v>3</v>
      </c>
      <c r="D96">
        <v>3</v>
      </c>
      <c r="E96" t="s">
        <v>34</v>
      </c>
      <c r="F96" t="s">
        <v>409</v>
      </c>
      <c r="G96">
        <v>1</v>
      </c>
      <c r="H96">
        <v>1</v>
      </c>
      <c r="I96" s="25">
        <v>9.3800000000000026</v>
      </c>
      <c r="J96">
        <v>26.000000000000032</v>
      </c>
      <c r="K96">
        <v>26</v>
      </c>
      <c r="L96">
        <v>26</v>
      </c>
      <c r="M96">
        <v>1200.0000476837158</v>
      </c>
      <c r="N96" s="25">
        <v>0.39306646941189732</v>
      </c>
      <c r="O96" s="25">
        <v>0.13102215647063242</v>
      </c>
      <c r="P96" s="25">
        <v>0.41214664610877605</v>
      </c>
      <c r="Q96" s="25">
        <v>0.137382215369592</v>
      </c>
      <c r="R96" s="25">
        <v>84.052080000000004</v>
      </c>
      <c r="S96" s="25">
        <v>28.01736</v>
      </c>
      <c r="T96" s="22">
        <v>13</v>
      </c>
      <c r="U96" s="22">
        <v>1</v>
      </c>
      <c r="V96" s="11">
        <v>3445.3531223186119</v>
      </c>
      <c r="W96" s="22">
        <v>1</v>
      </c>
      <c r="X96" s="22">
        <v>1</v>
      </c>
      <c r="Y96" s="22" t="s">
        <v>395</v>
      </c>
      <c r="AA96" t="s">
        <v>205</v>
      </c>
      <c r="AB96" s="22">
        <v>1</v>
      </c>
      <c r="AC96" t="s">
        <v>223</v>
      </c>
      <c r="AD96" t="s">
        <v>222</v>
      </c>
      <c r="AE96" s="25">
        <v>10199.999999999998</v>
      </c>
      <c r="AF96" s="25">
        <v>2610.9350170828402</v>
      </c>
      <c r="AG96">
        <v>2</v>
      </c>
      <c r="AH96">
        <v>1</v>
      </c>
      <c r="AK96" s="25">
        <v>0.62268537224489695</v>
      </c>
      <c r="AL96" s="25">
        <v>0.37339895936266015</v>
      </c>
      <c r="AM96" s="25">
        <v>8</v>
      </c>
      <c r="AN96">
        <v>2.06</v>
      </c>
      <c r="AO96">
        <v>0.79166666666666663</v>
      </c>
      <c r="AP96">
        <v>13</v>
      </c>
      <c r="AQ96">
        <v>0</v>
      </c>
      <c r="AR96">
        <v>0</v>
      </c>
      <c r="AS96">
        <v>0</v>
      </c>
      <c r="AT96" t="b">
        <v>0</v>
      </c>
      <c r="AU96" t="b">
        <v>0</v>
      </c>
      <c r="AV96">
        <v>2</v>
      </c>
      <c r="AW96" s="22" t="b">
        <v>0</v>
      </c>
      <c r="AX96" s="22" t="b">
        <v>0</v>
      </c>
      <c r="AY96" s="22">
        <v>410</v>
      </c>
      <c r="AZ96" s="22">
        <v>409.99999999999636</v>
      </c>
      <c r="BA96" s="30">
        <v>10199.999999999998</v>
      </c>
      <c r="BB96" s="35">
        <v>2610.9350170828402</v>
      </c>
      <c r="BC96" s="25"/>
      <c r="BD96" s="25">
        <v>74.915485287074631</v>
      </c>
      <c r="BE96" s="25"/>
    </row>
    <row r="97" spans="1:57" x14ac:dyDescent="0.25">
      <c r="A97" t="s">
        <v>319</v>
      </c>
      <c r="B97" t="s">
        <v>396</v>
      </c>
      <c r="C97">
        <v>2</v>
      </c>
      <c r="D97">
        <v>1</v>
      </c>
      <c r="E97" t="s">
        <v>408</v>
      </c>
      <c r="F97" t="s">
        <v>410</v>
      </c>
      <c r="G97">
        <v>5</v>
      </c>
      <c r="H97">
        <v>3</v>
      </c>
      <c r="I97" s="25">
        <v>3.9078501578537201</v>
      </c>
      <c r="J97">
        <v>19.02823980404219</v>
      </c>
      <c r="K97">
        <v>19.03</v>
      </c>
      <c r="M97">
        <v>1200.0000476837158</v>
      </c>
      <c r="N97" s="25">
        <v>4.0828699185616886E-2</v>
      </c>
      <c r="O97" s="25">
        <v>2.0414349592808443E-2</v>
      </c>
      <c r="P97" s="25">
        <v>4.1587199999999998E-2</v>
      </c>
      <c r="Q97" s="25">
        <v>2.0793599999999999E-2</v>
      </c>
      <c r="U97" s="22">
        <v>0</v>
      </c>
      <c r="V97" s="11">
        <v>170.5148100647213</v>
      </c>
      <c r="W97" s="22">
        <v>1</v>
      </c>
      <c r="X97" s="22">
        <v>1</v>
      </c>
      <c r="Y97" s="22" t="s">
        <v>396</v>
      </c>
      <c r="AA97" t="s">
        <v>205</v>
      </c>
      <c r="AB97" s="22">
        <v>1</v>
      </c>
      <c r="AC97" t="s">
        <v>223</v>
      </c>
      <c r="AD97" t="s">
        <v>222</v>
      </c>
      <c r="AE97" s="25">
        <v>4418.7660301812693</v>
      </c>
      <c r="AF97" s="25">
        <v>1641.3555382229388</v>
      </c>
      <c r="AG97">
        <v>1</v>
      </c>
      <c r="AH97">
        <v>0</v>
      </c>
      <c r="AK97" s="25">
        <v>7.0000000000000007E-2</v>
      </c>
      <c r="AL97" s="25">
        <v>1.3643287107548417E-2</v>
      </c>
      <c r="AM97" s="25">
        <v>1</v>
      </c>
      <c r="AP97">
        <v>0</v>
      </c>
      <c r="AQ97">
        <v>0</v>
      </c>
      <c r="AR97">
        <v>0</v>
      </c>
      <c r="AS97">
        <v>0</v>
      </c>
      <c r="AT97" t="b">
        <v>0</v>
      </c>
      <c r="AU97" t="b">
        <v>0</v>
      </c>
      <c r="AV97">
        <v>3</v>
      </c>
      <c r="AW97" s="22" t="b">
        <v>0</v>
      </c>
      <c r="AX97" s="22" t="b">
        <v>0</v>
      </c>
      <c r="AY97" s="22">
        <v>561.8275605729682</v>
      </c>
      <c r="AZ97" s="22">
        <v>50.9116882454191</v>
      </c>
      <c r="BA97" s="30">
        <v>4712.4537379520962</v>
      </c>
      <c r="BB97" s="35">
        <v>111.00000000163232</v>
      </c>
      <c r="BC97" s="25"/>
      <c r="BD97" s="25">
        <v>11.412253098672631</v>
      </c>
      <c r="BE97" s="25"/>
    </row>
    <row r="98" spans="1:57" x14ac:dyDescent="0.25">
      <c r="A98" t="s">
        <v>320</v>
      </c>
      <c r="B98" t="s">
        <v>396</v>
      </c>
      <c r="C98">
        <v>2</v>
      </c>
      <c r="D98">
        <v>1</v>
      </c>
      <c r="E98" t="s">
        <v>408</v>
      </c>
      <c r="F98" t="s">
        <v>410</v>
      </c>
      <c r="G98">
        <v>5</v>
      </c>
      <c r="H98">
        <v>3</v>
      </c>
      <c r="I98" s="25">
        <v>3.9078501578537201</v>
      </c>
      <c r="J98">
        <v>19.02823980404219</v>
      </c>
      <c r="K98">
        <v>19.03</v>
      </c>
      <c r="M98">
        <v>1200.0000476837158</v>
      </c>
      <c r="N98" s="25">
        <v>4.0828699185616886E-2</v>
      </c>
      <c r="O98" s="25">
        <v>2.0414349592808443E-2</v>
      </c>
      <c r="P98" s="25">
        <v>4.1587199999999998E-2</v>
      </c>
      <c r="Q98" s="25">
        <v>2.0793599999999999E-2</v>
      </c>
      <c r="U98" s="22">
        <v>0</v>
      </c>
      <c r="V98" s="11">
        <v>170.5148100647213</v>
      </c>
      <c r="W98" s="22">
        <v>1</v>
      </c>
      <c r="X98" s="22">
        <v>1</v>
      </c>
      <c r="Y98" s="22" t="s">
        <v>396</v>
      </c>
      <c r="AA98" t="s">
        <v>205</v>
      </c>
      <c r="AB98" s="22">
        <v>1</v>
      </c>
      <c r="AC98" t="s">
        <v>223</v>
      </c>
      <c r="AD98" t="s">
        <v>222</v>
      </c>
      <c r="AE98" s="25">
        <v>4418.7660301812693</v>
      </c>
      <c r="AF98" s="25">
        <v>1641.3555382229388</v>
      </c>
      <c r="AG98">
        <v>1</v>
      </c>
      <c r="AH98">
        <v>0</v>
      </c>
      <c r="AK98" s="25">
        <v>7.0000000000000007E-2</v>
      </c>
      <c r="AL98" s="25">
        <v>1.3643287107548417E-2</v>
      </c>
      <c r="AM98" s="25">
        <v>1</v>
      </c>
      <c r="AP98">
        <v>0</v>
      </c>
      <c r="AQ98">
        <v>0</v>
      </c>
      <c r="AR98">
        <v>0</v>
      </c>
      <c r="AS98">
        <v>0</v>
      </c>
      <c r="AT98" t="b">
        <v>0</v>
      </c>
      <c r="AU98" t="b">
        <v>0</v>
      </c>
      <c r="AV98">
        <v>3</v>
      </c>
      <c r="AW98" s="22" t="b">
        <v>0</v>
      </c>
      <c r="AX98" s="22" t="b">
        <v>0</v>
      </c>
      <c r="AY98" s="22">
        <v>561.8275605729682</v>
      </c>
      <c r="AZ98" s="22">
        <v>50.9116882454191</v>
      </c>
      <c r="BA98" s="30">
        <v>4712.4537379520962</v>
      </c>
      <c r="BB98" s="35">
        <v>111.00000000163232</v>
      </c>
      <c r="BC98" s="25"/>
      <c r="BD98" s="25">
        <v>11.412253098672631</v>
      </c>
      <c r="BE98" s="25"/>
    </row>
    <row r="99" spans="1:57" x14ac:dyDescent="0.25">
      <c r="A99" t="s">
        <v>321</v>
      </c>
      <c r="B99" t="s">
        <v>397</v>
      </c>
      <c r="C99">
        <v>5</v>
      </c>
      <c r="D99">
        <v>1</v>
      </c>
      <c r="E99" t="s">
        <v>34</v>
      </c>
      <c r="F99" t="s">
        <v>411</v>
      </c>
      <c r="G99">
        <v>1</v>
      </c>
      <c r="H99">
        <v>5</v>
      </c>
      <c r="I99" s="25">
        <v>2.7399952685406519</v>
      </c>
      <c r="J99">
        <v>26</v>
      </c>
      <c r="K99">
        <v>26</v>
      </c>
      <c r="M99">
        <v>1200.0000476837158</v>
      </c>
      <c r="N99" s="25">
        <v>0.1589599059877925</v>
      </c>
      <c r="O99" s="25">
        <v>3.1791981197558501E-2</v>
      </c>
      <c r="P99" s="25">
        <v>0.16677726628548223</v>
      </c>
      <c r="Q99" s="25">
        <v>3.3355453257096448E-2</v>
      </c>
      <c r="R99" s="25">
        <v>41.274799999999999</v>
      </c>
      <c r="S99" s="25">
        <v>8.2549600000000005</v>
      </c>
      <c r="T99" s="22">
        <v>4</v>
      </c>
      <c r="U99" s="22">
        <v>0</v>
      </c>
      <c r="V99" s="11">
        <v>305.25384265475907</v>
      </c>
      <c r="W99" s="22">
        <v>1</v>
      </c>
      <c r="X99" s="22">
        <v>1</v>
      </c>
      <c r="Y99" s="22" t="s">
        <v>397</v>
      </c>
      <c r="AA99" t="s">
        <v>205</v>
      </c>
      <c r="AB99" s="22">
        <v>1</v>
      </c>
      <c r="AC99" t="s">
        <v>223</v>
      </c>
      <c r="AD99" t="s">
        <v>222</v>
      </c>
      <c r="AE99" s="25">
        <v>3149.995268540652</v>
      </c>
      <c r="AF99" s="25">
        <v>1659.8541616909206</v>
      </c>
      <c r="AG99">
        <v>1</v>
      </c>
      <c r="AH99">
        <v>1</v>
      </c>
      <c r="AK99" s="25">
        <v>0.33369119981614725</v>
      </c>
      <c r="AL99" s="25">
        <v>4.0457211420214509E-2</v>
      </c>
      <c r="AM99" s="25">
        <v>5</v>
      </c>
      <c r="AN99">
        <v>0.62</v>
      </c>
      <c r="AO99">
        <v>0.08</v>
      </c>
      <c r="AP99">
        <v>4</v>
      </c>
      <c r="AQ99">
        <v>0</v>
      </c>
      <c r="AR99">
        <v>0</v>
      </c>
      <c r="AS99">
        <v>0</v>
      </c>
      <c r="AT99" t="b">
        <v>0</v>
      </c>
      <c r="AU99" t="b">
        <v>0</v>
      </c>
      <c r="AV99">
        <v>2</v>
      </c>
      <c r="AW99" s="22" t="b">
        <v>0</v>
      </c>
      <c r="AX99" s="22" t="b">
        <v>1</v>
      </c>
      <c r="AY99" s="22">
        <v>410</v>
      </c>
      <c r="AZ99" s="22">
        <v>4.5474735088646412E-13</v>
      </c>
      <c r="BA99" s="30">
        <v>3558.8291655979674</v>
      </c>
      <c r="BB99" s="35">
        <v>1354.5185795354939</v>
      </c>
      <c r="BC99" s="25"/>
      <c r="BD99" s="25">
        <v>18.049012453670727</v>
      </c>
      <c r="BE99" s="25"/>
    </row>
    <row r="100" spans="1:57" x14ac:dyDescent="0.25">
      <c r="A100" t="s">
        <v>322</v>
      </c>
      <c r="B100" t="s">
        <v>397</v>
      </c>
      <c r="C100">
        <v>5</v>
      </c>
      <c r="D100">
        <v>1</v>
      </c>
      <c r="E100" t="s">
        <v>34</v>
      </c>
      <c r="F100" t="s">
        <v>411</v>
      </c>
      <c r="G100">
        <v>1</v>
      </c>
      <c r="H100">
        <v>5</v>
      </c>
      <c r="I100" s="25">
        <v>2.7399952685406519</v>
      </c>
      <c r="J100">
        <v>26</v>
      </c>
      <c r="K100">
        <v>26</v>
      </c>
      <c r="M100">
        <v>1200.0000476837158</v>
      </c>
      <c r="N100" s="25">
        <v>0.1589599059877925</v>
      </c>
      <c r="O100" s="25">
        <v>3.1791981197558501E-2</v>
      </c>
      <c r="P100" s="25">
        <v>0.16677726628548223</v>
      </c>
      <c r="Q100" s="25">
        <v>3.3355453257096448E-2</v>
      </c>
      <c r="R100" s="25">
        <v>41.274799999999999</v>
      </c>
      <c r="S100" s="25">
        <v>8.2549600000000005</v>
      </c>
      <c r="T100" s="22">
        <v>4</v>
      </c>
      <c r="U100" s="22">
        <v>0</v>
      </c>
      <c r="V100" s="11">
        <v>305.25384265475907</v>
      </c>
      <c r="W100" s="22">
        <v>1</v>
      </c>
      <c r="X100" s="22">
        <v>1</v>
      </c>
      <c r="Y100" s="22" t="s">
        <v>397</v>
      </c>
      <c r="AA100" t="s">
        <v>205</v>
      </c>
      <c r="AB100" s="22">
        <v>1</v>
      </c>
      <c r="AC100" t="s">
        <v>223</v>
      </c>
      <c r="AD100" t="s">
        <v>222</v>
      </c>
      <c r="AE100" s="25">
        <v>3149.995268540652</v>
      </c>
      <c r="AF100" s="25">
        <v>1659.8541616909206</v>
      </c>
      <c r="AG100">
        <v>1</v>
      </c>
      <c r="AH100">
        <v>1</v>
      </c>
      <c r="AK100" s="25">
        <v>0.33369119981614725</v>
      </c>
      <c r="AL100" s="25">
        <v>4.0457211420214509E-2</v>
      </c>
      <c r="AM100" s="25">
        <v>5</v>
      </c>
      <c r="AN100">
        <v>0.62</v>
      </c>
      <c r="AO100">
        <v>0.08</v>
      </c>
      <c r="AP100">
        <v>4</v>
      </c>
      <c r="AQ100">
        <v>0</v>
      </c>
      <c r="AR100">
        <v>0</v>
      </c>
      <c r="AS100">
        <v>0</v>
      </c>
      <c r="AT100" t="b">
        <v>0</v>
      </c>
      <c r="AU100" t="b">
        <v>0</v>
      </c>
      <c r="AV100">
        <v>2</v>
      </c>
      <c r="AW100" s="22" t="b">
        <v>0</v>
      </c>
      <c r="AX100" s="22" t="b">
        <v>1</v>
      </c>
      <c r="AY100" s="22">
        <v>409.99999999999932</v>
      </c>
      <c r="AZ100" s="22">
        <v>4.5474735088646412E-13</v>
      </c>
      <c r="BA100" s="30">
        <v>3558.8291655979674</v>
      </c>
      <c r="BB100" s="35">
        <v>1354.5185795354939</v>
      </c>
      <c r="BC100" s="25"/>
      <c r="BD100" s="25">
        <v>18.049012453670727</v>
      </c>
      <c r="BE100" s="25"/>
    </row>
    <row r="101" spans="1:57" x14ac:dyDescent="0.25">
      <c r="A101" t="s">
        <v>323</v>
      </c>
      <c r="B101" t="s">
        <v>397</v>
      </c>
      <c r="C101">
        <v>5</v>
      </c>
      <c r="D101">
        <v>1</v>
      </c>
      <c r="E101" t="s">
        <v>34</v>
      </c>
      <c r="F101" t="s">
        <v>411</v>
      </c>
      <c r="G101">
        <v>1</v>
      </c>
      <c r="H101">
        <v>5</v>
      </c>
      <c r="I101" s="25">
        <v>2.7399952685406519</v>
      </c>
      <c r="J101">
        <v>26</v>
      </c>
      <c r="K101">
        <v>26</v>
      </c>
      <c r="M101">
        <v>1200.0000476837158</v>
      </c>
      <c r="N101" s="25">
        <v>0.1589599059877925</v>
      </c>
      <c r="O101" s="25">
        <v>3.1791981197558501E-2</v>
      </c>
      <c r="P101" s="25">
        <v>0.16677726628548223</v>
      </c>
      <c r="Q101" s="25">
        <v>3.3355453257096448E-2</v>
      </c>
      <c r="R101" s="25">
        <v>41.274799999999999</v>
      </c>
      <c r="S101" s="25">
        <v>8.2549600000000005</v>
      </c>
      <c r="T101" s="22">
        <v>4</v>
      </c>
      <c r="U101" s="22">
        <v>0</v>
      </c>
      <c r="V101" s="11">
        <v>305.25384265475907</v>
      </c>
      <c r="W101" s="22">
        <v>1</v>
      </c>
      <c r="X101" s="22">
        <v>1</v>
      </c>
      <c r="Y101" s="22" t="s">
        <v>397</v>
      </c>
      <c r="AA101" t="s">
        <v>205</v>
      </c>
      <c r="AB101" s="22">
        <v>1</v>
      </c>
      <c r="AC101" t="s">
        <v>223</v>
      </c>
      <c r="AD101" t="s">
        <v>222</v>
      </c>
      <c r="AE101" s="25">
        <v>3149.995268540652</v>
      </c>
      <c r="AF101" s="25">
        <v>1659.8541616909206</v>
      </c>
      <c r="AG101">
        <v>1</v>
      </c>
      <c r="AH101">
        <v>1</v>
      </c>
      <c r="AK101" s="25">
        <v>0.33369119981614725</v>
      </c>
      <c r="AL101" s="25">
        <v>4.0457211420214509E-2</v>
      </c>
      <c r="AM101" s="25">
        <v>5</v>
      </c>
      <c r="AN101">
        <v>0.62</v>
      </c>
      <c r="AO101">
        <v>0.08</v>
      </c>
      <c r="AP101">
        <v>4</v>
      </c>
      <c r="AQ101">
        <v>0</v>
      </c>
      <c r="AR101">
        <v>0</v>
      </c>
      <c r="AS101">
        <v>0</v>
      </c>
      <c r="AT101" t="b">
        <v>0</v>
      </c>
      <c r="AU101" t="b">
        <v>0</v>
      </c>
      <c r="AV101">
        <v>2</v>
      </c>
      <c r="AW101" s="22" t="b">
        <v>0</v>
      </c>
      <c r="AX101" s="22" t="b">
        <v>1</v>
      </c>
      <c r="AY101" s="22">
        <v>409.99999999999966</v>
      </c>
      <c r="AZ101" s="22">
        <v>4.5474735088646412E-13</v>
      </c>
      <c r="BA101" s="30">
        <v>3558.8291655979674</v>
      </c>
      <c r="BB101" s="35">
        <v>1354.5185795354939</v>
      </c>
      <c r="BC101" s="25"/>
      <c r="BD101" s="25">
        <v>18.049012453670727</v>
      </c>
      <c r="BE101" s="25"/>
    </row>
    <row r="102" spans="1:57" x14ac:dyDescent="0.25">
      <c r="A102" t="s">
        <v>324</v>
      </c>
      <c r="B102" t="s">
        <v>397</v>
      </c>
      <c r="C102">
        <v>5</v>
      </c>
      <c r="D102">
        <v>1</v>
      </c>
      <c r="E102" t="s">
        <v>34</v>
      </c>
      <c r="F102" t="s">
        <v>411</v>
      </c>
      <c r="G102">
        <v>1</v>
      </c>
      <c r="H102">
        <v>5</v>
      </c>
      <c r="I102" s="25">
        <v>2.7399952685406519</v>
      </c>
      <c r="J102">
        <v>26</v>
      </c>
      <c r="K102">
        <v>26</v>
      </c>
      <c r="M102">
        <v>1200.0000476837158</v>
      </c>
      <c r="N102" s="25">
        <v>0.1589599059877925</v>
      </c>
      <c r="O102" s="25">
        <v>3.1791981197558501E-2</v>
      </c>
      <c r="P102" s="25">
        <v>0.16677726628548223</v>
      </c>
      <c r="Q102" s="25">
        <v>3.3355453257096448E-2</v>
      </c>
      <c r="R102" s="25">
        <v>41.274799999999999</v>
      </c>
      <c r="S102" s="25">
        <v>8.2549600000000005</v>
      </c>
      <c r="T102" s="22">
        <v>4</v>
      </c>
      <c r="U102" s="22">
        <v>0</v>
      </c>
      <c r="V102" s="11">
        <v>305.25384265475907</v>
      </c>
      <c r="W102" s="22">
        <v>1</v>
      </c>
      <c r="X102" s="22">
        <v>1</v>
      </c>
      <c r="Y102" s="22" t="s">
        <v>397</v>
      </c>
      <c r="AA102" t="s">
        <v>205</v>
      </c>
      <c r="AB102" s="22">
        <v>1</v>
      </c>
      <c r="AC102" t="s">
        <v>223</v>
      </c>
      <c r="AD102" t="s">
        <v>222</v>
      </c>
      <c r="AE102" s="25">
        <v>3149.995268540652</v>
      </c>
      <c r="AF102" s="25">
        <v>1659.8541616909206</v>
      </c>
      <c r="AG102">
        <v>1</v>
      </c>
      <c r="AH102">
        <v>1</v>
      </c>
      <c r="AK102" s="25">
        <v>0.33369119981614725</v>
      </c>
      <c r="AL102" s="25">
        <v>4.0457211420214509E-2</v>
      </c>
      <c r="AM102" s="25">
        <v>5</v>
      </c>
      <c r="AN102">
        <v>0.62</v>
      </c>
      <c r="AO102">
        <v>0.08</v>
      </c>
      <c r="AP102">
        <v>4</v>
      </c>
      <c r="AQ102">
        <v>0</v>
      </c>
      <c r="AR102">
        <v>0</v>
      </c>
      <c r="AS102">
        <v>0</v>
      </c>
      <c r="AT102" t="b">
        <v>0</v>
      </c>
      <c r="AU102" t="b">
        <v>0</v>
      </c>
      <c r="AV102">
        <v>2</v>
      </c>
      <c r="AW102" s="22" t="b">
        <v>0</v>
      </c>
      <c r="AX102" s="22" t="b">
        <v>1</v>
      </c>
      <c r="AY102" s="22">
        <v>409.99999999999972</v>
      </c>
      <c r="AZ102" s="22">
        <v>4.5474735088646412E-13</v>
      </c>
      <c r="BA102" s="30">
        <v>3558.8291655979674</v>
      </c>
      <c r="BB102" s="35">
        <v>1354.5185795354939</v>
      </c>
      <c r="BC102" s="25"/>
      <c r="BD102" s="25">
        <v>18.049012453670727</v>
      </c>
      <c r="BE102" s="25"/>
    </row>
    <row r="103" spans="1:57" x14ac:dyDescent="0.25">
      <c r="A103" t="s">
        <v>325</v>
      </c>
      <c r="B103" t="s">
        <v>397</v>
      </c>
      <c r="C103">
        <v>5</v>
      </c>
      <c r="D103">
        <v>1</v>
      </c>
      <c r="E103" t="s">
        <v>34</v>
      </c>
      <c r="F103" t="s">
        <v>411</v>
      </c>
      <c r="G103">
        <v>1</v>
      </c>
      <c r="H103">
        <v>5</v>
      </c>
      <c r="I103" s="25">
        <v>2.7399952685406519</v>
      </c>
      <c r="J103">
        <v>26</v>
      </c>
      <c r="K103">
        <v>26</v>
      </c>
      <c r="M103">
        <v>1200.0000476837158</v>
      </c>
      <c r="N103" s="25">
        <v>0.1589599059877925</v>
      </c>
      <c r="O103" s="25">
        <v>3.1791981197558501E-2</v>
      </c>
      <c r="P103" s="25">
        <v>0.16677726628548223</v>
      </c>
      <c r="Q103" s="25">
        <v>3.3355453257096448E-2</v>
      </c>
      <c r="R103" s="25">
        <v>41.274799999999999</v>
      </c>
      <c r="S103" s="25">
        <v>8.2549600000000005</v>
      </c>
      <c r="T103" s="22">
        <v>4</v>
      </c>
      <c r="U103" s="22">
        <v>0</v>
      </c>
      <c r="V103" s="11">
        <v>305.25384265475907</v>
      </c>
      <c r="W103" s="22">
        <v>1</v>
      </c>
      <c r="X103" s="22">
        <v>1</v>
      </c>
      <c r="Y103" s="22" t="s">
        <v>397</v>
      </c>
      <c r="AA103" t="s">
        <v>205</v>
      </c>
      <c r="AB103" s="22">
        <v>1</v>
      </c>
      <c r="AC103" t="s">
        <v>223</v>
      </c>
      <c r="AD103" t="s">
        <v>222</v>
      </c>
      <c r="AE103" s="25">
        <v>3149.995268540652</v>
      </c>
      <c r="AF103" s="25">
        <v>1659.8541616909206</v>
      </c>
      <c r="AG103">
        <v>1</v>
      </c>
      <c r="AH103">
        <v>1</v>
      </c>
      <c r="AK103" s="25">
        <v>0.33369119981614725</v>
      </c>
      <c r="AL103" s="25">
        <v>4.0457211420214509E-2</v>
      </c>
      <c r="AM103" s="25">
        <v>5</v>
      </c>
      <c r="AN103">
        <v>0.62</v>
      </c>
      <c r="AO103">
        <v>0.08</v>
      </c>
      <c r="AP103">
        <v>4</v>
      </c>
      <c r="AQ103">
        <v>0</v>
      </c>
      <c r="AR103">
        <v>0</v>
      </c>
      <c r="AS103">
        <v>0</v>
      </c>
      <c r="AT103" t="b">
        <v>0</v>
      </c>
      <c r="AU103" t="b">
        <v>0</v>
      </c>
      <c r="AV103">
        <v>2</v>
      </c>
      <c r="AW103" s="22" t="b">
        <v>0</v>
      </c>
      <c r="AX103" s="22" t="b">
        <v>1</v>
      </c>
      <c r="AY103" s="22">
        <v>409.99999999999943</v>
      </c>
      <c r="AZ103" s="22">
        <v>4.5474735088646412E-13</v>
      </c>
      <c r="BA103" s="30">
        <v>3558.8291655979674</v>
      </c>
      <c r="BB103" s="35">
        <v>1354.5185795354939</v>
      </c>
      <c r="BC103" s="25"/>
      <c r="BD103" s="25">
        <v>18.049012453670727</v>
      </c>
      <c r="BE103" s="25"/>
    </row>
    <row r="104" spans="1:57" x14ac:dyDescent="0.25">
      <c r="A104" t="s">
        <v>326</v>
      </c>
      <c r="B104" t="s">
        <v>398</v>
      </c>
      <c r="C104">
        <v>2</v>
      </c>
      <c r="D104">
        <v>1</v>
      </c>
      <c r="E104" t="s">
        <v>34</v>
      </c>
      <c r="F104" t="s">
        <v>412</v>
      </c>
      <c r="G104">
        <v>1</v>
      </c>
      <c r="H104">
        <v>9</v>
      </c>
      <c r="I104" s="25">
        <v>2.7399952685406519</v>
      </c>
      <c r="J104">
        <v>25.999999999999996</v>
      </c>
      <c r="K104">
        <v>26</v>
      </c>
      <c r="M104">
        <v>1200.0000476837158</v>
      </c>
      <c r="N104" s="25">
        <v>4.4467430727534028E-2</v>
      </c>
      <c r="O104" s="25">
        <v>2.2233715363767014E-2</v>
      </c>
      <c r="P104" s="25">
        <v>4.9382906514194545E-2</v>
      </c>
      <c r="Q104" s="25">
        <v>2.4691453257097273E-2</v>
      </c>
      <c r="R104" s="25">
        <v>13.672239999999999</v>
      </c>
      <c r="S104" s="25">
        <v>6.8361199999999993</v>
      </c>
      <c r="T104" s="22">
        <v>3</v>
      </c>
      <c r="U104" s="22">
        <v>0</v>
      </c>
      <c r="V104" s="11">
        <v>267.15508631983846</v>
      </c>
      <c r="W104" s="22">
        <v>1</v>
      </c>
      <c r="X104" s="22">
        <v>1</v>
      </c>
      <c r="Y104" s="22" t="s">
        <v>398</v>
      </c>
      <c r="AA104" t="s">
        <v>205</v>
      </c>
      <c r="AB104" s="22">
        <v>1</v>
      </c>
      <c r="AC104" t="s">
        <v>223</v>
      </c>
      <c r="AD104" t="s">
        <v>222</v>
      </c>
      <c r="AE104" s="25">
        <v>3149.995268540652</v>
      </c>
      <c r="AF104" s="25">
        <v>1062.1593874059618</v>
      </c>
      <c r="AG104">
        <v>1</v>
      </c>
      <c r="AH104">
        <v>1</v>
      </c>
      <c r="AK104" s="25">
        <v>0.24646536529221483</v>
      </c>
      <c r="AL104" s="25">
        <v>3.1105597970290721E-2</v>
      </c>
      <c r="AM104" s="25">
        <v>4</v>
      </c>
      <c r="AN104">
        <v>0.46</v>
      </c>
      <c r="AO104">
        <v>0.06</v>
      </c>
      <c r="AP104">
        <v>3</v>
      </c>
      <c r="AQ104">
        <v>0</v>
      </c>
      <c r="AR104">
        <v>0</v>
      </c>
      <c r="AS104">
        <v>0</v>
      </c>
      <c r="AT104" t="b">
        <v>0</v>
      </c>
      <c r="AU104" t="b">
        <v>0</v>
      </c>
      <c r="AV104">
        <v>2</v>
      </c>
      <c r="AW104" s="22" t="b">
        <v>0</v>
      </c>
      <c r="AX104" s="22" t="b">
        <v>0</v>
      </c>
      <c r="AY104" s="22">
        <v>410</v>
      </c>
      <c r="AZ104" s="22">
        <v>1225.4558918064322</v>
      </c>
      <c r="BA104" s="30">
        <v>3157.2370420363573</v>
      </c>
      <c r="BB104" s="35">
        <v>967.65715741437248</v>
      </c>
      <c r="BC104" s="25"/>
      <c r="BD104" s="25">
        <v>12.532611158418234</v>
      </c>
      <c r="BE104" s="25"/>
    </row>
    <row r="105" spans="1:57" x14ac:dyDescent="0.25">
      <c r="A105" t="s">
        <v>327</v>
      </c>
      <c r="B105" t="s">
        <v>399</v>
      </c>
      <c r="C105">
        <v>2</v>
      </c>
      <c r="D105">
        <v>1</v>
      </c>
      <c r="E105" t="s">
        <v>34</v>
      </c>
      <c r="F105" t="s">
        <v>412</v>
      </c>
      <c r="G105">
        <v>1</v>
      </c>
      <c r="H105">
        <v>9</v>
      </c>
      <c r="I105" s="25">
        <v>1.5654510649796518</v>
      </c>
      <c r="J105">
        <v>26.000000000000018</v>
      </c>
      <c r="K105">
        <v>26</v>
      </c>
      <c r="M105">
        <v>1200.0000476837158</v>
      </c>
      <c r="N105" s="25">
        <v>2.8838090758557883E-2</v>
      </c>
      <c r="O105" s="25">
        <v>1.4419045379278942E-2</v>
      </c>
      <c r="P105" s="25">
        <v>3.205490651419432E-2</v>
      </c>
      <c r="Q105" s="25">
        <v>1.602745325709716E-2</v>
      </c>
      <c r="R105" s="25">
        <v>3.8607999999999998</v>
      </c>
      <c r="S105" s="25">
        <v>1.9303999999999999</v>
      </c>
      <c r="T105" s="22">
        <v>1</v>
      </c>
      <c r="U105" s="22">
        <v>0</v>
      </c>
      <c r="V105" s="11">
        <v>154.68919481853936</v>
      </c>
      <c r="W105" s="22">
        <v>1</v>
      </c>
      <c r="X105" s="22">
        <v>1</v>
      </c>
      <c r="Y105" s="22" t="s">
        <v>399</v>
      </c>
      <c r="AA105" t="s">
        <v>205</v>
      </c>
      <c r="AB105" s="22">
        <v>1</v>
      </c>
      <c r="AC105" t="s">
        <v>223</v>
      </c>
      <c r="AD105" t="s">
        <v>222</v>
      </c>
      <c r="AE105" s="25">
        <v>1949.9952208569348</v>
      </c>
      <c r="AF105" s="25">
        <v>1062.1593874059618</v>
      </c>
      <c r="AG105">
        <v>1</v>
      </c>
      <c r="AH105">
        <v>1</v>
      </c>
      <c r="AK105" s="25">
        <v>0.18846538421805223</v>
      </c>
      <c r="AL105" s="25">
        <v>2.1593428965543313E-2</v>
      </c>
      <c r="AM105" s="25">
        <v>3</v>
      </c>
      <c r="AN105">
        <v>0.16</v>
      </c>
      <c r="AO105">
        <v>0.02</v>
      </c>
      <c r="AP105">
        <v>1</v>
      </c>
      <c r="AQ105">
        <v>0</v>
      </c>
      <c r="AR105">
        <v>0</v>
      </c>
      <c r="AS105">
        <v>0</v>
      </c>
      <c r="AT105" t="b">
        <v>0</v>
      </c>
      <c r="AU105" t="b">
        <v>0</v>
      </c>
      <c r="AV105">
        <v>3</v>
      </c>
      <c r="AW105" s="22" t="b">
        <v>0</v>
      </c>
      <c r="AX105" s="22" t="b">
        <v>0</v>
      </c>
      <c r="AY105" s="22">
        <v>410</v>
      </c>
      <c r="AZ105" s="22">
        <v>50.911688245431833</v>
      </c>
      <c r="BA105" s="30">
        <v>2195.384562406939</v>
      </c>
      <c r="BB105" s="35">
        <v>828.47318248475733</v>
      </c>
      <c r="BC105" s="25"/>
      <c r="BD105" s="25">
        <v>7.9672319574465709</v>
      </c>
      <c r="BE105" s="25"/>
    </row>
    <row r="106" spans="1:57" x14ac:dyDescent="0.25">
      <c r="A106" t="s">
        <v>328</v>
      </c>
      <c r="B106" t="s">
        <v>400</v>
      </c>
      <c r="C106">
        <v>4</v>
      </c>
      <c r="D106">
        <v>1</v>
      </c>
      <c r="E106" t="s">
        <v>408</v>
      </c>
      <c r="F106" t="s">
        <v>413</v>
      </c>
      <c r="G106">
        <v>5</v>
      </c>
      <c r="H106">
        <v>1</v>
      </c>
      <c r="I106" s="25">
        <v>0.36545101729593715</v>
      </c>
      <c r="J106">
        <v>26.000000000000007</v>
      </c>
      <c r="K106">
        <v>26</v>
      </c>
      <c r="M106">
        <v>1200.0000476837158</v>
      </c>
      <c r="N106" s="25">
        <v>1.4906623068628062E-2</v>
      </c>
      <c r="O106" s="25">
        <v>3.7266557671570156E-3</v>
      </c>
      <c r="P106" s="25">
        <v>1.4906623068628062E-2</v>
      </c>
      <c r="Q106" s="25">
        <v>3.7266557671570156E-3</v>
      </c>
      <c r="U106" s="22">
        <v>0</v>
      </c>
      <c r="V106" s="11">
        <v>27.374539747582535</v>
      </c>
      <c r="W106" s="22">
        <v>1</v>
      </c>
      <c r="X106" s="22">
        <v>1</v>
      </c>
      <c r="Y106" s="22" t="s">
        <v>400</v>
      </c>
      <c r="AA106" t="s">
        <v>205</v>
      </c>
      <c r="AB106" s="22">
        <v>1</v>
      </c>
      <c r="AC106" t="s">
        <v>223</v>
      </c>
      <c r="AD106" t="s">
        <v>222</v>
      </c>
      <c r="AE106" s="25">
        <v>724.53932905050362</v>
      </c>
      <c r="AF106" s="25">
        <v>476.88025787100196</v>
      </c>
      <c r="AG106">
        <v>1</v>
      </c>
      <c r="AH106">
        <v>0</v>
      </c>
      <c r="AK106" s="25">
        <v>5.5E-2</v>
      </c>
      <c r="AL106" s="25">
        <v>6.0000000000000001E-3</v>
      </c>
      <c r="AM106" s="25">
        <v>1</v>
      </c>
      <c r="AP106">
        <v>0</v>
      </c>
      <c r="AQ106">
        <v>0</v>
      </c>
      <c r="AR106">
        <v>0</v>
      </c>
      <c r="AS106">
        <v>0</v>
      </c>
      <c r="AT106" t="b">
        <v>0</v>
      </c>
      <c r="AU106" t="b">
        <v>0</v>
      </c>
      <c r="AV106">
        <v>2</v>
      </c>
      <c r="AW106" s="22" t="b">
        <v>0</v>
      </c>
      <c r="AX106" s="22" t="b">
        <v>0</v>
      </c>
      <c r="AY106" s="22">
        <v>409.99999999999835</v>
      </c>
      <c r="AZ106" s="22">
        <v>50.91168824543189</v>
      </c>
      <c r="BA106" s="30">
        <v>860.26218078445891</v>
      </c>
      <c r="BB106" s="35">
        <v>111.0000000018282</v>
      </c>
      <c r="BC106" s="25"/>
      <c r="BD106" s="25">
        <v>1.9681965555749465</v>
      </c>
      <c r="BE106" s="25"/>
    </row>
    <row r="107" spans="1:57" x14ac:dyDescent="0.25">
      <c r="A107" t="s">
        <v>329</v>
      </c>
      <c r="B107" t="s">
        <v>400</v>
      </c>
      <c r="C107">
        <v>4</v>
      </c>
      <c r="D107">
        <v>1</v>
      </c>
      <c r="E107" t="s">
        <v>408</v>
      </c>
      <c r="F107" t="s">
        <v>413</v>
      </c>
      <c r="G107">
        <v>5</v>
      </c>
      <c r="H107">
        <v>1</v>
      </c>
      <c r="I107" s="25">
        <v>0.36545101729593715</v>
      </c>
      <c r="J107">
        <v>26.000000000000007</v>
      </c>
      <c r="K107">
        <v>26</v>
      </c>
      <c r="M107">
        <v>1200.0000476837158</v>
      </c>
      <c r="N107" s="25">
        <v>1.4906623068628062E-2</v>
      </c>
      <c r="O107" s="25">
        <v>3.7266557671570156E-3</v>
      </c>
      <c r="P107" s="25">
        <v>1.4906623068628062E-2</v>
      </c>
      <c r="Q107" s="25">
        <v>3.7266557671570156E-3</v>
      </c>
      <c r="U107" s="22">
        <v>0</v>
      </c>
      <c r="V107" s="11">
        <v>27.374539747582535</v>
      </c>
      <c r="W107" s="22">
        <v>1</v>
      </c>
      <c r="X107" s="22">
        <v>1</v>
      </c>
      <c r="Y107" s="22" t="s">
        <v>400</v>
      </c>
      <c r="AA107" t="s">
        <v>205</v>
      </c>
      <c r="AB107" s="22">
        <v>1</v>
      </c>
      <c r="AC107" t="s">
        <v>223</v>
      </c>
      <c r="AD107" t="s">
        <v>222</v>
      </c>
      <c r="AE107" s="25">
        <v>724.53932905050362</v>
      </c>
      <c r="AF107" s="25">
        <v>476.88025787100196</v>
      </c>
      <c r="AG107">
        <v>1</v>
      </c>
      <c r="AH107">
        <v>0</v>
      </c>
      <c r="AK107" s="25">
        <v>5.5E-2</v>
      </c>
      <c r="AL107" s="25">
        <v>6.0000000000000001E-3</v>
      </c>
      <c r="AM107" s="25">
        <v>1</v>
      </c>
      <c r="AP107">
        <v>0</v>
      </c>
      <c r="AQ107">
        <v>0</v>
      </c>
      <c r="AR107">
        <v>0</v>
      </c>
      <c r="AS107">
        <v>0</v>
      </c>
      <c r="AT107" t="b">
        <v>0</v>
      </c>
      <c r="AU107" t="b">
        <v>0</v>
      </c>
      <c r="AV107">
        <v>2</v>
      </c>
      <c r="AW107" s="22" t="b">
        <v>0</v>
      </c>
      <c r="AX107" s="22" t="b">
        <v>0</v>
      </c>
      <c r="AY107" s="22">
        <v>409.99999999999835</v>
      </c>
      <c r="AZ107" s="22">
        <v>50.91168824543189</v>
      </c>
      <c r="BA107" s="30">
        <v>860.26218078445891</v>
      </c>
      <c r="BB107" s="35">
        <v>111.0000000018282</v>
      </c>
      <c r="BC107" s="25"/>
      <c r="BD107" s="25">
        <v>1.9681965555749465</v>
      </c>
      <c r="BE107" s="25"/>
    </row>
    <row r="108" spans="1:57" x14ac:dyDescent="0.25">
      <c r="A108" t="s">
        <v>330</v>
      </c>
      <c r="B108" t="s">
        <v>398</v>
      </c>
      <c r="C108">
        <v>2</v>
      </c>
      <c r="D108">
        <v>1</v>
      </c>
      <c r="E108" t="s">
        <v>34</v>
      </c>
      <c r="F108" t="s">
        <v>412</v>
      </c>
      <c r="G108">
        <v>1</v>
      </c>
      <c r="H108">
        <v>9</v>
      </c>
      <c r="I108" s="25">
        <v>2.7399952685406519</v>
      </c>
      <c r="J108">
        <v>25.999999999999996</v>
      </c>
      <c r="K108">
        <v>26</v>
      </c>
      <c r="M108">
        <v>1200.0000476837158</v>
      </c>
      <c r="N108" s="25">
        <v>4.4467430727534028E-2</v>
      </c>
      <c r="O108" s="25">
        <v>2.2233715363767014E-2</v>
      </c>
      <c r="P108" s="25">
        <v>4.9382906514194545E-2</v>
      </c>
      <c r="Q108" s="25">
        <v>2.4691453257097273E-2</v>
      </c>
      <c r="R108" s="25">
        <v>13.672239999999999</v>
      </c>
      <c r="S108" s="25">
        <v>6.8361199999999993</v>
      </c>
      <c r="T108" s="22">
        <v>3</v>
      </c>
      <c r="U108" s="22">
        <v>0</v>
      </c>
      <c r="V108" s="11">
        <v>267.15508631983846</v>
      </c>
      <c r="W108" s="22">
        <v>1</v>
      </c>
      <c r="X108" s="22">
        <v>1</v>
      </c>
      <c r="Y108" s="22" t="s">
        <v>398</v>
      </c>
      <c r="AA108" t="s">
        <v>205</v>
      </c>
      <c r="AB108" s="22">
        <v>1</v>
      </c>
      <c r="AC108" t="s">
        <v>223</v>
      </c>
      <c r="AD108" t="s">
        <v>222</v>
      </c>
      <c r="AE108" s="25">
        <v>3149.995268540652</v>
      </c>
      <c r="AF108" s="25">
        <v>1062.1593874059618</v>
      </c>
      <c r="AG108">
        <v>1</v>
      </c>
      <c r="AH108">
        <v>1</v>
      </c>
      <c r="AK108" s="25">
        <v>0.24646536529221483</v>
      </c>
      <c r="AL108" s="25">
        <v>3.1105597970290721E-2</v>
      </c>
      <c r="AM108" s="25">
        <v>4</v>
      </c>
      <c r="AN108">
        <v>0.46</v>
      </c>
      <c r="AO108">
        <v>0.06</v>
      </c>
      <c r="AP108">
        <v>3</v>
      </c>
      <c r="AQ108">
        <v>0</v>
      </c>
      <c r="AR108">
        <v>0</v>
      </c>
      <c r="AS108">
        <v>0</v>
      </c>
      <c r="AT108" t="b">
        <v>0</v>
      </c>
      <c r="AU108" t="b">
        <v>0</v>
      </c>
      <c r="AV108">
        <v>2</v>
      </c>
      <c r="AW108" s="22" t="b">
        <v>0</v>
      </c>
      <c r="AX108" s="22" t="b">
        <v>0</v>
      </c>
      <c r="AY108" s="22">
        <v>409.99999999999892</v>
      </c>
      <c r="AZ108" s="22">
        <v>1225.4558918064322</v>
      </c>
      <c r="BA108" s="30">
        <v>3157.2370420363573</v>
      </c>
      <c r="BB108" s="35">
        <v>967.65715741437248</v>
      </c>
      <c r="BC108" s="25"/>
      <c r="BD108" s="25">
        <v>12.532611158418234</v>
      </c>
      <c r="BE108" s="25"/>
    </row>
    <row r="109" spans="1:57" x14ac:dyDescent="0.25">
      <c r="A109" t="s">
        <v>331</v>
      </c>
      <c r="B109" t="s">
        <v>399</v>
      </c>
      <c r="C109">
        <v>2</v>
      </c>
      <c r="D109">
        <v>1</v>
      </c>
      <c r="E109" t="s">
        <v>34</v>
      </c>
      <c r="F109" t="s">
        <v>412</v>
      </c>
      <c r="G109">
        <v>1</v>
      </c>
      <c r="H109">
        <v>9</v>
      </c>
      <c r="I109" s="25">
        <v>1.5654510649796518</v>
      </c>
      <c r="J109">
        <v>26.000000000000018</v>
      </c>
      <c r="K109">
        <v>26</v>
      </c>
      <c r="M109">
        <v>1200.0000476837158</v>
      </c>
      <c r="N109" s="25">
        <v>2.8838090758557883E-2</v>
      </c>
      <c r="O109" s="25">
        <v>1.4419045379278942E-2</v>
      </c>
      <c r="P109" s="25">
        <v>3.205490651419432E-2</v>
      </c>
      <c r="Q109" s="25">
        <v>1.602745325709716E-2</v>
      </c>
      <c r="R109" s="25">
        <v>3.8607999999999998</v>
      </c>
      <c r="S109" s="25">
        <v>1.9303999999999999</v>
      </c>
      <c r="T109" s="22">
        <v>1</v>
      </c>
      <c r="U109" s="22">
        <v>0</v>
      </c>
      <c r="V109" s="11">
        <v>154.68919481853936</v>
      </c>
      <c r="W109" s="22">
        <v>1</v>
      </c>
      <c r="X109" s="22">
        <v>1</v>
      </c>
      <c r="Y109" s="22" t="s">
        <v>399</v>
      </c>
      <c r="AA109" t="s">
        <v>205</v>
      </c>
      <c r="AB109" s="22">
        <v>1</v>
      </c>
      <c r="AC109" t="s">
        <v>223</v>
      </c>
      <c r="AD109" t="s">
        <v>222</v>
      </c>
      <c r="AE109" s="25">
        <v>1949.9952208569348</v>
      </c>
      <c r="AF109" s="25">
        <v>1062.1593874059618</v>
      </c>
      <c r="AG109">
        <v>1</v>
      </c>
      <c r="AH109">
        <v>1</v>
      </c>
      <c r="AK109" s="25">
        <v>0.18846538421805223</v>
      </c>
      <c r="AL109" s="25">
        <v>2.1593428965543313E-2</v>
      </c>
      <c r="AM109" s="25">
        <v>3</v>
      </c>
      <c r="AN109">
        <v>0.16</v>
      </c>
      <c r="AO109">
        <v>0.02</v>
      </c>
      <c r="AP109">
        <v>1</v>
      </c>
      <c r="AQ109">
        <v>0</v>
      </c>
      <c r="AR109">
        <v>0</v>
      </c>
      <c r="AS109">
        <v>0</v>
      </c>
      <c r="AT109" t="b">
        <v>0</v>
      </c>
      <c r="AU109" t="b">
        <v>0</v>
      </c>
      <c r="AV109">
        <v>3</v>
      </c>
      <c r="AW109" s="22" t="b">
        <v>0</v>
      </c>
      <c r="AX109" s="22" t="b">
        <v>0</v>
      </c>
      <c r="AY109" s="22">
        <v>410</v>
      </c>
      <c r="AZ109" s="22">
        <v>50.911688245431833</v>
      </c>
      <c r="BA109" s="30">
        <v>2195.384562406939</v>
      </c>
      <c r="BB109" s="35">
        <v>828.47318248475733</v>
      </c>
      <c r="BC109" s="25"/>
      <c r="BD109" s="25">
        <v>7.9672319574465709</v>
      </c>
      <c r="BE109" s="25"/>
    </row>
    <row r="110" spans="1:57" x14ac:dyDescent="0.25">
      <c r="A110" t="s">
        <v>332</v>
      </c>
      <c r="B110" t="s">
        <v>400</v>
      </c>
      <c r="C110">
        <v>4</v>
      </c>
      <c r="D110">
        <v>1</v>
      </c>
      <c r="E110" t="s">
        <v>408</v>
      </c>
      <c r="F110" t="s">
        <v>413</v>
      </c>
      <c r="G110">
        <v>5</v>
      </c>
      <c r="H110">
        <v>1</v>
      </c>
      <c r="I110" s="25">
        <v>0.36545101729593715</v>
      </c>
      <c r="J110">
        <v>26.000000000000007</v>
      </c>
      <c r="K110">
        <v>26</v>
      </c>
      <c r="M110">
        <v>1200.0000476837158</v>
      </c>
      <c r="N110" s="25">
        <v>1.4906623068628062E-2</v>
      </c>
      <c r="O110" s="25">
        <v>3.7266557671570156E-3</v>
      </c>
      <c r="P110" s="25">
        <v>1.4906623068628062E-2</v>
      </c>
      <c r="Q110" s="25">
        <v>3.7266557671570156E-3</v>
      </c>
      <c r="U110" s="22">
        <v>0</v>
      </c>
      <c r="V110" s="11">
        <v>27.374539747582535</v>
      </c>
      <c r="W110" s="22">
        <v>1</v>
      </c>
      <c r="X110" s="22">
        <v>1</v>
      </c>
      <c r="Y110" s="22" t="s">
        <v>400</v>
      </c>
      <c r="AA110" t="s">
        <v>205</v>
      </c>
      <c r="AB110" s="22">
        <v>1</v>
      </c>
      <c r="AC110" t="s">
        <v>223</v>
      </c>
      <c r="AD110" t="s">
        <v>222</v>
      </c>
      <c r="AE110" s="25">
        <v>724.53932905050362</v>
      </c>
      <c r="AF110" s="25">
        <v>476.88025787100196</v>
      </c>
      <c r="AG110">
        <v>1</v>
      </c>
      <c r="AH110">
        <v>0</v>
      </c>
      <c r="AK110" s="25">
        <v>5.5E-2</v>
      </c>
      <c r="AL110" s="25">
        <v>6.0000000000000001E-3</v>
      </c>
      <c r="AM110" s="25">
        <v>1</v>
      </c>
      <c r="AP110">
        <v>0</v>
      </c>
      <c r="AQ110">
        <v>0</v>
      </c>
      <c r="AR110">
        <v>0</v>
      </c>
      <c r="AS110">
        <v>0</v>
      </c>
      <c r="AT110" t="b">
        <v>0</v>
      </c>
      <c r="AU110" t="b">
        <v>0</v>
      </c>
      <c r="AV110">
        <v>2</v>
      </c>
      <c r="AW110" s="22" t="b">
        <v>0</v>
      </c>
      <c r="AX110" s="22" t="b">
        <v>0</v>
      </c>
      <c r="AY110" s="22">
        <v>409.99999999999835</v>
      </c>
      <c r="AZ110" s="22">
        <v>50.91168824543189</v>
      </c>
      <c r="BA110" s="30">
        <v>860.26218078445891</v>
      </c>
      <c r="BB110" s="35">
        <v>111.0000000018282</v>
      </c>
      <c r="BC110" s="25"/>
      <c r="BD110" s="25">
        <v>1.9681965555749465</v>
      </c>
      <c r="BE110" s="25"/>
    </row>
    <row r="111" spans="1:57" x14ac:dyDescent="0.25">
      <c r="A111" t="s">
        <v>333</v>
      </c>
      <c r="B111" t="s">
        <v>400</v>
      </c>
      <c r="C111">
        <v>4</v>
      </c>
      <c r="D111">
        <v>1</v>
      </c>
      <c r="E111" t="s">
        <v>408</v>
      </c>
      <c r="F111" t="s">
        <v>413</v>
      </c>
      <c r="G111">
        <v>5</v>
      </c>
      <c r="H111">
        <v>1</v>
      </c>
      <c r="I111" s="25">
        <v>0.36545101729593715</v>
      </c>
      <c r="J111">
        <v>26.000000000000007</v>
      </c>
      <c r="K111">
        <v>26</v>
      </c>
      <c r="M111">
        <v>1200.0000476837158</v>
      </c>
      <c r="N111" s="25">
        <v>1.4906623068628062E-2</v>
      </c>
      <c r="O111" s="25">
        <v>3.7266557671570156E-3</v>
      </c>
      <c r="P111" s="25">
        <v>1.4906623068628062E-2</v>
      </c>
      <c r="Q111" s="25">
        <v>3.7266557671570156E-3</v>
      </c>
      <c r="U111" s="22">
        <v>0</v>
      </c>
      <c r="V111" s="11">
        <v>27.374539747582535</v>
      </c>
      <c r="W111" s="22">
        <v>1</v>
      </c>
      <c r="X111" s="22">
        <v>1</v>
      </c>
      <c r="Y111" s="22" t="s">
        <v>400</v>
      </c>
      <c r="AA111" t="s">
        <v>205</v>
      </c>
      <c r="AB111" s="22">
        <v>1</v>
      </c>
      <c r="AC111" t="s">
        <v>223</v>
      </c>
      <c r="AD111" t="s">
        <v>222</v>
      </c>
      <c r="AE111" s="25">
        <v>724.53932905050362</v>
      </c>
      <c r="AF111" s="25">
        <v>476.88025787100196</v>
      </c>
      <c r="AG111">
        <v>1</v>
      </c>
      <c r="AH111">
        <v>0</v>
      </c>
      <c r="AK111" s="25">
        <v>5.5E-2</v>
      </c>
      <c r="AL111" s="25">
        <v>6.0000000000000001E-3</v>
      </c>
      <c r="AM111" s="25">
        <v>1</v>
      </c>
      <c r="AP111">
        <v>0</v>
      </c>
      <c r="AQ111">
        <v>0</v>
      </c>
      <c r="AR111">
        <v>0</v>
      </c>
      <c r="AS111">
        <v>0</v>
      </c>
      <c r="AT111" t="b">
        <v>0</v>
      </c>
      <c r="AU111" t="b">
        <v>0</v>
      </c>
      <c r="AV111">
        <v>2</v>
      </c>
      <c r="AW111" s="22" t="b">
        <v>0</v>
      </c>
      <c r="AX111" s="22" t="b">
        <v>0</v>
      </c>
      <c r="AY111" s="22">
        <v>409.99999999999835</v>
      </c>
      <c r="AZ111" s="22">
        <v>50.91168824543189</v>
      </c>
      <c r="BA111" s="30">
        <v>860.26218078445891</v>
      </c>
      <c r="BB111" s="35">
        <v>111.0000000018282</v>
      </c>
      <c r="BC111" s="25"/>
      <c r="BD111" s="25">
        <v>1.9681965555749465</v>
      </c>
      <c r="BE111" s="25"/>
    </row>
    <row r="112" spans="1:57" x14ac:dyDescent="0.25">
      <c r="A112" t="s">
        <v>334</v>
      </c>
      <c r="B112" t="s">
        <v>374</v>
      </c>
      <c r="C112">
        <v>9</v>
      </c>
      <c r="D112">
        <v>1</v>
      </c>
      <c r="E112" t="s">
        <v>34</v>
      </c>
      <c r="F112" t="s">
        <v>409</v>
      </c>
      <c r="G112">
        <v>1</v>
      </c>
      <c r="H112">
        <v>1</v>
      </c>
      <c r="I112" s="25">
        <v>6.7799999999999985</v>
      </c>
      <c r="J112">
        <v>22.499999999999982</v>
      </c>
      <c r="K112">
        <v>22.5</v>
      </c>
      <c r="L112">
        <v>22.5</v>
      </c>
      <c r="M112">
        <v>1164</v>
      </c>
      <c r="N112" s="25">
        <v>0.72090554955671859</v>
      </c>
      <c r="O112" s="25">
        <v>8.0100616617413176E-2</v>
      </c>
      <c r="P112" s="25">
        <v>0.74077200000000043</v>
      </c>
      <c r="Q112" s="25">
        <v>8.2308000000000062E-2</v>
      </c>
      <c r="R112" s="25">
        <v>142.75583999999998</v>
      </c>
      <c r="S112" s="25">
        <v>15.861759999999997</v>
      </c>
      <c r="T112" s="22">
        <v>7</v>
      </c>
      <c r="U112" s="22">
        <v>1</v>
      </c>
      <c r="V112" s="11">
        <v>627.96290153894859</v>
      </c>
      <c r="W112" s="22">
        <v>1</v>
      </c>
      <c r="X112" s="22">
        <v>1</v>
      </c>
      <c r="Y112" s="22" t="s">
        <v>374</v>
      </c>
      <c r="AA112" t="s">
        <v>206</v>
      </c>
      <c r="AB112" s="22">
        <v>1</v>
      </c>
      <c r="AC112" t="s">
        <v>223</v>
      </c>
      <c r="AD112" t="s">
        <v>222</v>
      </c>
      <c r="AE112" s="25">
        <v>7599.9999999999982</v>
      </c>
      <c r="AF112" s="25">
        <v>1694.1570712495595</v>
      </c>
      <c r="AG112">
        <v>2</v>
      </c>
      <c r="AH112">
        <v>1</v>
      </c>
      <c r="AK112" s="25">
        <v>0.38840000000000008</v>
      </c>
      <c r="AL112" s="25">
        <v>8.8879241931251587E-2</v>
      </c>
      <c r="AM112" s="25">
        <v>5</v>
      </c>
      <c r="AN112">
        <v>1.1000000000000001</v>
      </c>
      <c r="AO112">
        <v>0.185</v>
      </c>
      <c r="AP112">
        <v>7</v>
      </c>
      <c r="AQ112">
        <v>0</v>
      </c>
      <c r="AR112">
        <v>0</v>
      </c>
      <c r="AS112">
        <v>0</v>
      </c>
      <c r="AT112" t="b">
        <v>0</v>
      </c>
      <c r="AU112" t="b">
        <v>0</v>
      </c>
      <c r="AV112">
        <v>2</v>
      </c>
      <c r="AW112" s="22" t="b">
        <v>0</v>
      </c>
      <c r="AX112" s="22" t="b">
        <v>0</v>
      </c>
      <c r="AY112" s="22">
        <v>410</v>
      </c>
      <c r="AZ112" s="22">
        <v>410</v>
      </c>
      <c r="BA112" s="30">
        <v>7599.9999999999982</v>
      </c>
      <c r="BB112" s="35">
        <v>1694.1570712495595</v>
      </c>
      <c r="BC112" s="25"/>
      <c r="BD112" s="25">
        <v>47.300588523988708</v>
      </c>
      <c r="BE112" s="25"/>
    </row>
    <row r="113" spans="1:57" x14ac:dyDescent="0.25">
      <c r="A113" t="s">
        <v>335</v>
      </c>
      <c r="B113" t="s">
        <v>374</v>
      </c>
      <c r="C113">
        <v>9</v>
      </c>
      <c r="D113">
        <v>1</v>
      </c>
      <c r="E113" t="s">
        <v>34</v>
      </c>
      <c r="F113" t="s">
        <v>409</v>
      </c>
      <c r="G113">
        <v>1</v>
      </c>
      <c r="H113">
        <v>1</v>
      </c>
      <c r="I113" s="25">
        <v>6.7799999999999985</v>
      </c>
      <c r="J113">
        <v>22.499999999999982</v>
      </c>
      <c r="K113">
        <v>22.5</v>
      </c>
      <c r="L113">
        <v>22.5</v>
      </c>
      <c r="M113">
        <v>1164</v>
      </c>
      <c r="N113" s="25">
        <v>0.72090554955671859</v>
      </c>
      <c r="O113" s="25">
        <v>8.0100616617413176E-2</v>
      </c>
      <c r="P113" s="25">
        <v>0.74077200000000043</v>
      </c>
      <c r="Q113" s="25">
        <v>8.2308000000000062E-2</v>
      </c>
      <c r="R113" s="25">
        <v>142.75583999999998</v>
      </c>
      <c r="S113" s="25">
        <v>15.861759999999997</v>
      </c>
      <c r="T113" s="22">
        <v>7</v>
      </c>
      <c r="U113" s="22">
        <v>1</v>
      </c>
      <c r="V113" s="11">
        <v>627.96290153894859</v>
      </c>
      <c r="W113" s="22">
        <v>1</v>
      </c>
      <c r="X113" s="22">
        <v>1</v>
      </c>
      <c r="Y113" s="22" t="s">
        <v>374</v>
      </c>
      <c r="AA113" t="s">
        <v>206</v>
      </c>
      <c r="AB113" s="22">
        <v>1</v>
      </c>
      <c r="AC113" t="s">
        <v>223</v>
      </c>
      <c r="AD113" t="s">
        <v>222</v>
      </c>
      <c r="AE113" s="25">
        <v>7599.9999999999982</v>
      </c>
      <c r="AF113" s="25">
        <v>1694.1570712495595</v>
      </c>
      <c r="AG113">
        <v>2</v>
      </c>
      <c r="AH113">
        <v>1</v>
      </c>
      <c r="AK113" s="25">
        <v>0.38840000000000008</v>
      </c>
      <c r="AL113" s="25">
        <v>8.8879241931251587E-2</v>
      </c>
      <c r="AM113" s="25">
        <v>5</v>
      </c>
      <c r="AN113">
        <v>1.1000000000000001</v>
      </c>
      <c r="AO113">
        <v>0.185</v>
      </c>
      <c r="AP113">
        <v>7</v>
      </c>
      <c r="AQ113">
        <v>0</v>
      </c>
      <c r="AR113">
        <v>0</v>
      </c>
      <c r="AS113">
        <v>0</v>
      </c>
      <c r="AT113" t="b">
        <v>0</v>
      </c>
      <c r="AU113" t="b">
        <v>0</v>
      </c>
      <c r="AV113">
        <v>2</v>
      </c>
      <c r="AW113" s="22" t="b">
        <v>0</v>
      </c>
      <c r="AX113" s="22" t="b">
        <v>0</v>
      </c>
      <c r="AY113" s="22">
        <v>410</v>
      </c>
      <c r="AZ113" s="22">
        <v>410</v>
      </c>
      <c r="BA113" s="30">
        <v>7599.9999999999982</v>
      </c>
      <c r="BB113" s="35">
        <v>1694.1570712495595</v>
      </c>
      <c r="BC113" s="25"/>
      <c r="BD113" s="25">
        <v>47.300588523988708</v>
      </c>
      <c r="BE113" s="25"/>
    </row>
    <row r="114" spans="1:57" x14ac:dyDescent="0.25">
      <c r="A114" t="s">
        <v>336</v>
      </c>
      <c r="B114" t="s">
        <v>401</v>
      </c>
      <c r="C114">
        <v>2</v>
      </c>
      <c r="D114">
        <v>1</v>
      </c>
      <c r="E114" t="s">
        <v>408</v>
      </c>
      <c r="F114" t="s">
        <v>414</v>
      </c>
      <c r="G114">
        <v>5</v>
      </c>
      <c r="H114">
        <v>6</v>
      </c>
      <c r="I114" s="25">
        <v>1</v>
      </c>
      <c r="J114">
        <v>0</v>
      </c>
      <c r="K114">
        <v>0</v>
      </c>
      <c r="M114">
        <v>1036</v>
      </c>
      <c r="N114" s="25">
        <v>8.6639999999999998E-3</v>
      </c>
      <c r="O114" s="25">
        <v>4.3319999999999999E-3</v>
      </c>
      <c r="P114" s="25">
        <v>1.0396799999999999E-2</v>
      </c>
      <c r="Q114" s="25">
        <v>5.1983999999999997E-3</v>
      </c>
      <c r="U114" s="22">
        <v>0</v>
      </c>
      <c r="V114" s="11">
        <v>75.022055334000001</v>
      </c>
      <c r="W114" s="22">
        <v>1</v>
      </c>
      <c r="X114" s="22">
        <v>1</v>
      </c>
      <c r="Y114" s="22" t="s">
        <v>401</v>
      </c>
      <c r="AA114" t="s">
        <v>207</v>
      </c>
      <c r="AB114" s="22">
        <v>1</v>
      </c>
      <c r="AC114" t="s">
        <v>223</v>
      </c>
      <c r="AD114" t="s">
        <v>222</v>
      </c>
      <c r="AE114" s="25">
        <v>1000</v>
      </c>
      <c r="AF114" s="25">
        <v>111</v>
      </c>
      <c r="AG114">
        <v>0</v>
      </c>
      <c r="AH114">
        <v>0</v>
      </c>
      <c r="AK114" s="25">
        <v>5.5E-2</v>
      </c>
      <c r="AL114" s="25">
        <v>6.0000000000000001E-3</v>
      </c>
      <c r="AM114" s="25">
        <v>1</v>
      </c>
      <c r="AP114">
        <v>0</v>
      </c>
      <c r="AQ114">
        <v>0</v>
      </c>
      <c r="AR114">
        <v>0</v>
      </c>
      <c r="AS114">
        <v>0</v>
      </c>
      <c r="AT114" t="b">
        <v>0</v>
      </c>
      <c r="AU114" t="b">
        <v>0</v>
      </c>
      <c r="AV114">
        <v>2</v>
      </c>
      <c r="AW114" s="22" t="b">
        <v>0</v>
      </c>
      <c r="AX114" s="22" t="b">
        <v>0</v>
      </c>
      <c r="AY114" s="22">
        <v>7.2088876197182093E-15</v>
      </c>
      <c r="AZ114" s="22">
        <v>0</v>
      </c>
      <c r="BA114" s="30">
        <v>1000</v>
      </c>
      <c r="BB114" s="35">
        <v>111</v>
      </c>
      <c r="BC114" s="25"/>
      <c r="BD114" s="25">
        <v>2.4415560000000003</v>
      </c>
      <c r="BE114" s="25"/>
    </row>
    <row r="115" spans="1:57" x14ac:dyDescent="0.25">
      <c r="A115" t="s">
        <v>337</v>
      </c>
      <c r="B115" t="s">
        <v>401</v>
      </c>
      <c r="C115">
        <v>2</v>
      </c>
      <c r="D115">
        <v>1</v>
      </c>
      <c r="E115" t="s">
        <v>408</v>
      </c>
      <c r="F115" t="s">
        <v>414</v>
      </c>
      <c r="G115">
        <v>5</v>
      </c>
      <c r="H115">
        <v>6</v>
      </c>
      <c r="I115" s="25">
        <v>1</v>
      </c>
      <c r="J115">
        <v>0</v>
      </c>
      <c r="K115">
        <v>0</v>
      </c>
      <c r="M115">
        <v>1036</v>
      </c>
      <c r="N115" s="25">
        <v>8.6639999999999998E-3</v>
      </c>
      <c r="O115" s="25">
        <v>4.3319999999999999E-3</v>
      </c>
      <c r="P115" s="25">
        <v>1.0396799999999999E-2</v>
      </c>
      <c r="Q115" s="25">
        <v>5.1983999999999997E-3</v>
      </c>
      <c r="U115" s="22">
        <v>0</v>
      </c>
      <c r="V115" s="11">
        <v>75.022055334000001</v>
      </c>
      <c r="W115" s="22">
        <v>1</v>
      </c>
      <c r="X115" s="22">
        <v>1</v>
      </c>
      <c r="Y115" s="22" t="s">
        <v>401</v>
      </c>
      <c r="AA115" t="s">
        <v>207</v>
      </c>
      <c r="AB115" s="22">
        <v>1</v>
      </c>
      <c r="AC115" t="s">
        <v>223</v>
      </c>
      <c r="AD115" t="s">
        <v>222</v>
      </c>
      <c r="AE115" s="25">
        <v>1000</v>
      </c>
      <c r="AF115" s="25">
        <v>111</v>
      </c>
      <c r="AG115">
        <v>0</v>
      </c>
      <c r="AH115">
        <v>0</v>
      </c>
      <c r="AK115" s="25">
        <v>5.5E-2</v>
      </c>
      <c r="AL115" s="25">
        <v>6.0000000000000001E-3</v>
      </c>
      <c r="AM115" s="25">
        <v>1</v>
      </c>
      <c r="AP115">
        <v>0</v>
      </c>
      <c r="AQ115">
        <v>0</v>
      </c>
      <c r="AR115">
        <v>0</v>
      </c>
      <c r="AS115">
        <v>0</v>
      </c>
      <c r="AT115" t="b">
        <v>0</v>
      </c>
      <c r="AU115" t="b">
        <v>0</v>
      </c>
      <c r="AV115">
        <v>2</v>
      </c>
      <c r="AW115" s="22" t="b">
        <v>0</v>
      </c>
      <c r="AX115" s="22" t="b">
        <v>0</v>
      </c>
      <c r="AY115" s="22">
        <v>7.2088876197182093E-15</v>
      </c>
      <c r="AZ115" s="22">
        <v>0</v>
      </c>
      <c r="BA115" s="30">
        <v>1000</v>
      </c>
      <c r="BB115" s="35">
        <v>111</v>
      </c>
      <c r="BC115" s="25"/>
      <c r="BD115" s="25">
        <v>2.4415560000000003</v>
      </c>
      <c r="BE115" s="25"/>
    </row>
    <row r="116" spans="1:57" x14ac:dyDescent="0.25">
      <c r="A116" t="s">
        <v>338</v>
      </c>
      <c r="B116" t="s">
        <v>402</v>
      </c>
      <c r="C116">
        <v>2</v>
      </c>
      <c r="D116">
        <v>1</v>
      </c>
      <c r="E116" t="s">
        <v>408</v>
      </c>
      <c r="F116" t="s">
        <v>415</v>
      </c>
      <c r="G116">
        <v>5</v>
      </c>
      <c r="H116">
        <v>7</v>
      </c>
      <c r="I116" s="25">
        <v>1</v>
      </c>
      <c r="M116">
        <v>1036</v>
      </c>
      <c r="N116" s="25">
        <v>8.6640000000000016E-3</v>
      </c>
      <c r="O116" s="25">
        <v>4.3320000000000008E-3</v>
      </c>
      <c r="P116" s="25">
        <v>1.0396799999999999E-2</v>
      </c>
      <c r="Q116" s="25">
        <v>5.1983999999999997E-3</v>
      </c>
      <c r="U116" s="22">
        <v>0</v>
      </c>
      <c r="V116" s="11">
        <v>75.022055334000001</v>
      </c>
      <c r="W116" s="22">
        <v>1</v>
      </c>
      <c r="X116" s="22">
        <v>1</v>
      </c>
      <c r="Y116" s="22" t="s">
        <v>402</v>
      </c>
      <c r="AA116" t="s">
        <v>207</v>
      </c>
      <c r="AB116" s="22">
        <v>1</v>
      </c>
      <c r="AC116" t="s">
        <v>223</v>
      </c>
      <c r="AD116" t="s">
        <v>222</v>
      </c>
      <c r="AE116" s="25">
        <v>1000.0000000000002</v>
      </c>
      <c r="AF116" s="25">
        <v>111</v>
      </c>
      <c r="AG116">
        <v>0</v>
      </c>
      <c r="AH116">
        <v>1</v>
      </c>
      <c r="AK116" s="25">
        <v>5.5E-2</v>
      </c>
      <c r="AL116" s="25">
        <v>6.0000000000000001E-3</v>
      </c>
      <c r="AM116" s="25">
        <v>1</v>
      </c>
      <c r="AP116">
        <v>0</v>
      </c>
      <c r="AQ116">
        <v>0</v>
      </c>
      <c r="AR116">
        <v>0</v>
      </c>
      <c r="AS116">
        <v>0</v>
      </c>
      <c r="AT116" t="b">
        <v>0</v>
      </c>
      <c r="AU116" t="b">
        <v>0</v>
      </c>
      <c r="AV116">
        <v>2</v>
      </c>
      <c r="AW116" s="22" t="b">
        <v>0</v>
      </c>
      <c r="AX116" s="22" t="b">
        <v>0</v>
      </c>
      <c r="AY116" s="22">
        <v>0</v>
      </c>
      <c r="AZ116" s="22">
        <v>0</v>
      </c>
      <c r="BA116" s="30">
        <v>1000.0000000000002</v>
      </c>
      <c r="BB116" s="35">
        <v>111</v>
      </c>
      <c r="BC116" s="25"/>
      <c r="BD116" s="25">
        <v>2.4415560000000003</v>
      </c>
      <c r="BE116" s="25"/>
    </row>
    <row r="117" spans="1:57" x14ac:dyDescent="0.25">
      <c r="A117" t="s">
        <v>339</v>
      </c>
      <c r="B117" t="s">
        <v>402</v>
      </c>
      <c r="C117">
        <v>2</v>
      </c>
      <c r="D117">
        <v>1</v>
      </c>
      <c r="E117" t="s">
        <v>408</v>
      </c>
      <c r="F117" t="s">
        <v>415</v>
      </c>
      <c r="G117">
        <v>5</v>
      </c>
      <c r="H117">
        <v>7</v>
      </c>
      <c r="I117" s="25">
        <v>1</v>
      </c>
      <c r="M117">
        <v>1036</v>
      </c>
      <c r="N117" s="25">
        <v>8.6640000000000016E-3</v>
      </c>
      <c r="O117" s="25">
        <v>4.3320000000000008E-3</v>
      </c>
      <c r="P117" s="25">
        <v>1.0396799999999999E-2</v>
      </c>
      <c r="Q117" s="25">
        <v>5.1983999999999997E-3</v>
      </c>
      <c r="U117" s="22">
        <v>0</v>
      </c>
      <c r="V117" s="11">
        <v>75.022055334000001</v>
      </c>
      <c r="W117" s="22">
        <v>1</v>
      </c>
      <c r="X117" s="22">
        <v>1</v>
      </c>
      <c r="Y117" s="22" t="s">
        <v>402</v>
      </c>
      <c r="AA117" t="s">
        <v>207</v>
      </c>
      <c r="AB117" s="22">
        <v>1</v>
      </c>
      <c r="AC117" t="s">
        <v>223</v>
      </c>
      <c r="AD117" t="s">
        <v>222</v>
      </c>
      <c r="AE117" s="25">
        <v>1000.0000000000002</v>
      </c>
      <c r="AF117" s="25">
        <v>111</v>
      </c>
      <c r="AG117">
        <v>0</v>
      </c>
      <c r="AH117">
        <v>1</v>
      </c>
      <c r="AK117" s="25">
        <v>5.5E-2</v>
      </c>
      <c r="AL117" s="25">
        <v>6.0000000000000001E-3</v>
      </c>
      <c r="AM117" s="25">
        <v>1</v>
      </c>
      <c r="AP117">
        <v>0</v>
      </c>
      <c r="AQ117">
        <v>0</v>
      </c>
      <c r="AR117">
        <v>0</v>
      </c>
      <c r="AS117">
        <v>0</v>
      </c>
      <c r="AT117" t="b">
        <v>0</v>
      </c>
      <c r="AU117" t="b">
        <v>0</v>
      </c>
      <c r="AV117">
        <v>2</v>
      </c>
      <c r="AW117" s="22" t="b">
        <v>0</v>
      </c>
      <c r="AX117" s="22" t="b">
        <v>0</v>
      </c>
      <c r="AY117" s="22">
        <v>0</v>
      </c>
      <c r="AZ117" s="22">
        <v>0</v>
      </c>
      <c r="BA117" s="30">
        <v>1000.0000000000002</v>
      </c>
      <c r="BB117" s="35">
        <v>111</v>
      </c>
      <c r="BC117" s="25"/>
      <c r="BD117" s="25">
        <v>2.4415560000000003</v>
      </c>
      <c r="BE117" s="25"/>
    </row>
    <row r="118" spans="1:57" x14ac:dyDescent="0.25">
      <c r="A118" t="s">
        <v>340</v>
      </c>
      <c r="B118" t="s">
        <v>374</v>
      </c>
      <c r="C118">
        <v>9</v>
      </c>
      <c r="D118">
        <v>1</v>
      </c>
      <c r="E118" t="s">
        <v>34</v>
      </c>
      <c r="F118" t="s">
        <v>409</v>
      </c>
      <c r="G118">
        <v>1</v>
      </c>
      <c r="H118">
        <v>1</v>
      </c>
      <c r="I118" s="25">
        <v>6.7799999999999985</v>
      </c>
      <c r="J118">
        <v>22.499999999999982</v>
      </c>
      <c r="K118">
        <v>22.5</v>
      </c>
      <c r="L118">
        <v>22.5</v>
      </c>
      <c r="M118">
        <v>997.50000000046566</v>
      </c>
      <c r="N118" s="25">
        <v>0.72090554955671859</v>
      </c>
      <c r="O118" s="25">
        <v>8.0100616617413176E-2</v>
      </c>
      <c r="P118" s="25">
        <v>0.74077200000000043</v>
      </c>
      <c r="Q118" s="25">
        <v>8.2308000000000062E-2</v>
      </c>
      <c r="R118" s="25">
        <v>142.75583999999998</v>
      </c>
      <c r="S118" s="25">
        <v>15.861759999999997</v>
      </c>
      <c r="T118" s="22">
        <v>7</v>
      </c>
      <c r="U118" s="22">
        <v>1</v>
      </c>
      <c r="V118" s="11">
        <v>627.96290153894859</v>
      </c>
      <c r="W118" s="22">
        <v>1</v>
      </c>
      <c r="X118" s="22">
        <v>1</v>
      </c>
      <c r="Y118" s="22" t="s">
        <v>374</v>
      </c>
      <c r="AA118" t="s">
        <v>208</v>
      </c>
      <c r="AB118" s="22">
        <v>1</v>
      </c>
      <c r="AC118" t="s">
        <v>223</v>
      </c>
      <c r="AD118" t="s">
        <v>222</v>
      </c>
      <c r="AE118" s="25">
        <v>7599.9999999999982</v>
      </c>
      <c r="AF118" s="25">
        <v>1694.1570712495595</v>
      </c>
      <c r="AG118">
        <v>2</v>
      </c>
      <c r="AH118">
        <v>1</v>
      </c>
      <c r="AK118" s="25">
        <v>0.38840000000000008</v>
      </c>
      <c r="AL118" s="25">
        <v>8.8879241931251587E-2</v>
      </c>
      <c r="AM118" s="25">
        <v>5</v>
      </c>
      <c r="AN118">
        <v>1.1000000000000001</v>
      </c>
      <c r="AO118">
        <v>0.185</v>
      </c>
      <c r="AP118">
        <v>7</v>
      </c>
      <c r="AQ118">
        <v>0</v>
      </c>
      <c r="AR118">
        <v>0</v>
      </c>
      <c r="AS118">
        <v>0</v>
      </c>
      <c r="AT118" t="b">
        <v>0</v>
      </c>
      <c r="AU118" t="b">
        <v>0</v>
      </c>
      <c r="AV118">
        <v>2</v>
      </c>
      <c r="AW118" s="22" t="b">
        <v>0</v>
      </c>
      <c r="AX118" s="22" t="b">
        <v>0</v>
      </c>
      <c r="AY118" s="22">
        <v>410</v>
      </c>
      <c r="AZ118" s="22">
        <v>409.99999999999454</v>
      </c>
      <c r="BA118" s="30">
        <v>7599.9999999999982</v>
      </c>
      <c r="BB118" s="35">
        <v>1694.1570712495595</v>
      </c>
      <c r="BC118" s="25"/>
      <c r="BD118" s="25">
        <v>47.300588523988708</v>
      </c>
      <c r="BE118" s="25"/>
    </row>
    <row r="119" spans="1:57" x14ac:dyDescent="0.25">
      <c r="A119" t="s">
        <v>341</v>
      </c>
      <c r="B119" t="s">
        <v>374</v>
      </c>
      <c r="C119">
        <v>9</v>
      </c>
      <c r="D119">
        <v>1</v>
      </c>
      <c r="E119" t="s">
        <v>34</v>
      </c>
      <c r="F119" t="s">
        <v>409</v>
      </c>
      <c r="G119">
        <v>1</v>
      </c>
      <c r="H119">
        <v>1</v>
      </c>
      <c r="I119" s="25">
        <v>6.7799999999999985</v>
      </c>
      <c r="J119">
        <v>22.499999999999982</v>
      </c>
      <c r="K119">
        <v>22.5</v>
      </c>
      <c r="L119">
        <v>22.5</v>
      </c>
      <c r="M119">
        <v>997.50000000046566</v>
      </c>
      <c r="N119" s="25">
        <v>0.72090554955671859</v>
      </c>
      <c r="O119" s="25">
        <v>8.0100616617413176E-2</v>
      </c>
      <c r="P119" s="25">
        <v>0.74077200000000043</v>
      </c>
      <c r="Q119" s="25">
        <v>8.2308000000000062E-2</v>
      </c>
      <c r="R119" s="25">
        <v>142.75583999999998</v>
      </c>
      <c r="S119" s="25">
        <v>15.861759999999997</v>
      </c>
      <c r="T119" s="22">
        <v>7</v>
      </c>
      <c r="U119" s="22">
        <v>1</v>
      </c>
      <c r="V119" s="11">
        <v>627.96290153894859</v>
      </c>
      <c r="W119" s="22">
        <v>1</v>
      </c>
      <c r="X119" s="22">
        <v>1</v>
      </c>
      <c r="Y119" s="22" t="s">
        <v>374</v>
      </c>
      <c r="AA119" t="s">
        <v>208</v>
      </c>
      <c r="AB119" s="22">
        <v>1</v>
      </c>
      <c r="AC119" t="s">
        <v>223</v>
      </c>
      <c r="AD119" t="s">
        <v>222</v>
      </c>
      <c r="AE119" s="25">
        <v>7599.9999999999982</v>
      </c>
      <c r="AF119" s="25">
        <v>1694.1570712495595</v>
      </c>
      <c r="AG119">
        <v>2</v>
      </c>
      <c r="AH119">
        <v>1</v>
      </c>
      <c r="AK119" s="25">
        <v>0.38840000000000008</v>
      </c>
      <c r="AL119" s="25">
        <v>8.8879241931251587E-2</v>
      </c>
      <c r="AM119" s="25">
        <v>5</v>
      </c>
      <c r="AN119">
        <v>1.1000000000000001</v>
      </c>
      <c r="AO119">
        <v>0.185</v>
      </c>
      <c r="AP119">
        <v>7</v>
      </c>
      <c r="AQ119">
        <v>0</v>
      </c>
      <c r="AR119">
        <v>0</v>
      </c>
      <c r="AS119">
        <v>0</v>
      </c>
      <c r="AT119" t="b">
        <v>0</v>
      </c>
      <c r="AU119" t="b">
        <v>0</v>
      </c>
      <c r="AV119">
        <v>2</v>
      </c>
      <c r="AW119" s="22" t="b">
        <v>0</v>
      </c>
      <c r="AX119" s="22" t="b">
        <v>0</v>
      </c>
      <c r="AY119" s="22">
        <v>410</v>
      </c>
      <c r="AZ119" s="22">
        <v>409.99999999999454</v>
      </c>
      <c r="BA119" s="30">
        <v>7599.9999999999982</v>
      </c>
      <c r="BB119" s="35">
        <v>1694.1570712495595</v>
      </c>
      <c r="BC119" s="25"/>
      <c r="BD119" s="25">
        <v>47.300588523988708</v>
      </c>
      <c r="BE119" s="25"/>
    </row>
    <row r="120" spans="1:57" x14ac:dyDescent="0.25">
      <c r="A120" t="s">
        <v>342</v>
      </c>
      <c r="B120" t="s">
        <v>374</v>
      </c>
      <c r="C120">
        <v>9</v>
      </c>
      <c r="D120">
        <v>1</v>
      </c>
      <c r="E120" t="s">
        <v>34</v>
      </c>
      <c r="F120" t="s">
        <v>409</v>
      </c>
      <c r="G120">
        <v>1</v>
      </c>
      <c r="H120">
        <v>1</v>
      </c>
      <c r="I120" s="25">
        <v>6.7799999999999985</v>
      </c>
      <c r="J120">
        <v>22.499999999999982</v>
      </c>
      <c r="K120">
        <v>22.5</v>
      </c>
      <c r="L120">
        <v>22.5</v>
      </c>
      <c r="M120">
        <v>997.50000000046566</v>
      </c>
      <c r="N120" s="25">
        <v>0.72090554955671859</v>
      </c>
      <c r="O120" s="25">
        <v>8.0100616617413176E-2</v>
      </c>
      <c r="P120" s="25">
        <v>0.74077200000000043</v>
      </c>
      <c r="Q120" s="25">
        <v>8.2308000000000062E-2</v>
      </c>
      <c r="R120" s="25">
        <v>142.75583999999998</v>
      </c>
      <c r="S120" s="25">
        <v>15.861759999999997</v>
      </c>
      <c r="T120" s="22">
        <v>7</v>
      </c>
      <c r="U120" s="22">
        <v>1</v>
      </c>
      <c r="V120" s="11">
        <v>627.96290153894859</v>
      </c>
      <c r="W120" s="22">
        <v>1</v>
      </c>
      <c r="X120" s="22">
        <v>1</v>
      </c>
      <c r="Y120" s="22" t="s">
        <v>374</v>
      </c>
      <c r="AA120" t="s">
        <v>208</v>
      </c>
      <c r="AB120" s="22">
        <v>1</v>
      </c>
      <c r="AC120" t="s">
        <v>223</v>
      </c>
      <c r="AD120" t="s">
        <v>222</v>
      </c>
      <c r="AE120" s="25">
        <v>7599.9999999999982</v>
      </c>
      <c r="AF120" s="25">
        <v>1694.1570712495595</v>
      </c>
      <c r="AG120">
        <v>2</v>
      </c>
      <c r="AH120">
        <v>1</v>
      </c>
      <c r="AK120" s="25">
        <v>0.38840000000000008</v>
      </c>
      <c r="AL120" s="25">
        <v>8.8879241931251587E-2</v>
      </c>
      <c r="AM120" s="25">
        <v>5</v>
      </c>
      <c r="AN120">
        <v>1.1000000000000001</v>
      </c>
      <c r="AO120">
        <v>0.185</v>
      </c>
      <c r="AP120">
        <v>7</v>
      </c>
      <c r="AQ120">
        <v>0</v>
      </c>
      <c r="AR120">
        <v>0</v>
      </c>
      <c r="AS120">
        <v>0</v>
      </c>
      <c r="AT120" t="b">
        <v>0</v>
      </c>
      <c r="AU120" t="b">
        <v>0</v>
      </c>
      <c r="AV120">
        <v>2</v>
      </c>
      <c r="AW120" s="22" t="b">
        <v>0</v>
      </c>
      <c r="AX120" s="22" t="b">
        <v>0</v>
      </c>
      <c r="AY120" s="22">
        <v>410</v>
      </c>
      <c r="AZ120" s="22">
        <v>409.99999999999454</v>
      </c>
      <c r="BA120" s="30">
        <v>7599.9999999999982</v>
      </c>
      <c r="BB120" s="35">
        <v>1694.1570712495595</v>
      </c>
      <c r="BC120" s="25"/>
      <c r="BD120" s="25">
        <v>47.300588523988708</v>
      </c>
      <c r="BE120" s="25"/>
    </row>
    <row r="121" spans="1:57" x14ac:dyDescent="0.25">
      <c r="A121" t="s">
        <v>343</v>
      </c>
      <c r="B121" t="s">
        <v>403</v>
      </c>
      <c r="C121">
        <v>2</v>
      </c>
      <c r="D121">
        <v>1</v>
      </c>
      <c r="E121" t="s">
        <v>34</v>
      </c>
      <c r="F121" t="s">
        <v>409</v>
      </c>
      <c r="G121">
        <v>1</v>
      </c>
      <c r="H121">
        <v>1</v>
      </c>
      <c r="I121" s="25">
        <v>8.1299999999999848</v>
      </c>
      <c r="J121">
        <v>22.499999999999982</v>
      </c>
      <c r="K121">
        <v>22.5</v>
      </c>
      <c r="L121">
        <v>22.5</v>
      </c>
      <c r="M121">
        <v>1085.7142857142858</v>
      </c>
      <c r="N121" s="25">
        <v>0.18509205460825517</v>
      </c>
      <c r="O121" s="25">
        <v>9.2546027304127587E-2</v>
      </c>
      <c r="P121" s="25">
        <v>0.19696139661510095</v>
      </c>
      <c r="Q121" s="25">
        <v>9.8480698307550477E-2</v>
      </c>
      <c r="R121" s="25">
        <v>34.706720000000004</v>
      </c>
      <c r="S121" s="25">
        <v>17.353360000000002</v>
      </c>
      <c r="T121" s="22">
        <v>8</v>
      </c>
      <c r="U121" s="22">
        <v>1</v>
      </c>
      <c r="V121" s="11">
        <v>826.32430238663494</v>
      </c>
      <c r="W121" s="22">
        <v>1</v>
      </c>
      <c r="X121" s="22">
        <v>1</v>
      </c>
      <c r="Y121" s="22" t="s">
        <v>403</v>
      </c>
      <c r="AA121" t="s">
        <v>209</v>
      </c>
      <c r="AB121" s="22">
        <v>1</v>
      </c>
      <c r="AC121" t="s">
        <v>223</v>
      </c>
      <c r="AD121" t="s">
        <v>222</v>
      </c>
      <c r="AE121" s="25">
        <v>8130</v>
      </c>
      <c r="AF121" s="25">
        <v>1859.5520435739309</v>
      </c>
      <c r="AG121">
        <v>2</v>
      </c>
      <c r="AH121">
        <v>1</v>
      </c>
      <c r="AK121" s="25">
        <v>0.53951567718200566</v>
      </c>
      <c r="AL121" s="25">
        <v>8.5476710769873704E-2</v>
      </c>
      <c r="AM121" s="25">
        <v>7</v>
      </c>
      <c r="AN121">
        <v>1.49</v>
      </c>
      <c r="AO121">
        <v>0.17</v>
      </c>
      <c r="AP121">
        <v>8</v>
      </c>
      <c r="AQ121">
        <v>0</v>
      </c>
      <c r="AR121">
        <v>0</v>
      </c>
      <c r="AS121">
        <v>0</v>
      </c>
      <c r="AT121" t="b">
        <v>0</v>
      </c>
      <c r="AU121" t="b">
        <v>0</v>
      </c>
      <c r="AV121">
        <v>2</v>
      </c>
      <c r="AW121" s="22" t="b">
        <v>0</v>
      </c>
      <c r="AX121" s="22" t="b">
        <v>0</v>
      </c>
      <c r="AY121" s="22">
        <v>110</v>
      </c>
      <c r="AZ121" s="22">
        <v>1.4551915228366852E-11</v>
      </c>
      <c r="BA121" s="30">
        <v>8130</v>
      </c>
      <c r="BB121" s="35">
        <v>1859.5520435739309</v>
      </c>
      <c r="BC121" s="25"/>
      <c r="BD121" s="25">
        <v>54.765948994926632</v>
      </c>
      <c r="BE121" s="25"/>
    </row>
    <row r="122" spans="1:57" x14ac:dyDescent="0.25">
      <c r="A122" t="s">
        <v>344</v>
      </c>
      <c r="B122" t="s">
        <v>403</v>
      </c>
      <c r="C122">
        <v>2</v>
      </c>
      <c r="D122">
        <v>1</v>
      </c>
      <c r="E122" t="s">
        <v>34</v>
      </c>
      <c r="F122" t="s">
        <v>409</v>
      </c>
      <c r="G122">
        <v>1</v>
      </c>
      <c r="H122">
        <v>1</v>
      </c>
      <c r="I122" s="25">
        <v>8.1299999999999848</v>
      </c>
      <c r="J122">
        <v>22.499999999999982</v>
      </c>
      <c r="K122">
        <v>22.5</v>
      </c>
      <c r="L122">
        <v>22.5</v>
      </c>
      <c r="M122">
        <v>1085.7142857142858</v>
      </c>
      <c r="N122" s="25">
        <v>0.18509205460825517</v>
      </c>
      <c r="O122" s="25">
        <v>9.2546027304127587E-2</v>
      </c>
      <c r="P122" s="25">
        <v>0.19696139661510095</v>
      </c>
      <c r="Q122" s="25">
        <v>9.8480698307550477E-2</v>
      </c>
      <c r="R122" s="25">
        <v>34.706720000000004</v>
      </c>
      <c r="S122" s="25">
        <v>17.353360000000002</v>
      </c>
      <c r="T122" s="22">
        <v>8</v>
      </c>
      <c r="U122" s="22">
        <v>1</v>
      </c>
      <c r="V122" s="11">
        <v>826.32430238663494</v>
      </c>
      <c r="W122" s="22">
        <v>1</v>
      </c>
      <c r="X122" s="22">
        <v>1</v>
      </c>
      <c r="Y122" s="22" t="s">
        <v>403</v>
      </c>
      <c r="AA122" t="s">
        <v>209</v>
      </c>
      <c r="AB122" s="22">
        <v>1</v>
      </c>
      <c r="AC122" t="s">
        <v>223</v>
      </c>
      <c r="AD122" t="s">
        <v>222</v>
      </c>
      <c r="AE122" s="25">
        <v>8130</v>
      </c>
      <c r="AF122" s="25">
        <v>1859.5520435739309</v>
      </c>
      <c r="AG122">
        <v>2</v>
      </c>
      <c r="AH122">
        <v>1</v>
      </c>
      <c r="AK122" s="25">
        <v>0.53951567718200566</v>
      </c>
      <c r="AL122" s="25">
        <v>8.5476710769873704E-2</v>
      </c>
      <c r="AM122" s="25">
        <v>7</v>
      </c>
      <c r="AN122">
        <v>1.49</v>
      </c>
      <c r="AO122">
        <v>0.17</v>
      </c>
      <c r="AP122">
        <v>8</v>
      </c>
      <c r="AQ122">
        <v>0</v>
      </c>
      <c r="AR122">
        <v>0</v>
      </c>
      <c r="AS122">
        <v>0</v>
      </c>
      <c r="AT122" t="b">
        <v>0</v>
      </c>
      <c r="AU122" t="b">
        <v>0</v>
      </c>
      <c r="AV122">
        <v>2</v>
      </c>
      <c r="AW122" s="22" t="b">
        <v>0</v>
      </c>
      <c r="AX122" s="22" t="b">
        <v>0</v>
      </c>
      <c r="AY122" s="22">
        <v>110</v>
      </c>
      <c r="AZ122" s="22">
        <v>1.4551915228366852E-11</v>
      </c>
      <c r="BA122" s="30">
        <v>8130</v>
      </c>
      <c r="BB122" s="35">
        <v>1859.5520435739309</v>
      </c>
      <c r="BC122" s="25"/>
      <c r="BD122" s="25">
        <v>54.765948994926632</v>
      </c>
      <c r="BE122" s="25"/>
    </row>
    <row r="123" spans="1:57" x14ac:dyDescent="0.25">
      <c r="A123" t="s">
        <v>345</v>
      </c>
      <c r="B123" t="s">
        <v>404</v>
      </c>
      <c r="C123">
        <v>1</v>
      </c>
      <c r="D123">
        <v>1</v>
      </c>
      <c r="E123" t="s">
        <v>34</v>
      </c>
      <c r="F123" t="s">
        <v>409</v>
      </c>
      <c r="G123">
        <v>1</v>
      </c>
      <c r="H123">
        <v>1</v>
      </c>
      <c r="I123" s="25">
        <v>8.1899999999999853</v>
      </c>
      <c r="J123">
        <v>22.499999999999982</v>
      </c>
      <c r="K123">
        <v>22.5</v>
      </c>
      <c r="L123">
        <v>22.5</v>
      </c>
      <c r="M123">
        <v>1085.7142857142858</v>
      </c>
      <c r="N123" s="25">
        <v>9.2812535138676627E-2</v>
      </c>
      <c r="O123" s="25">
        <v>9.2812535138676627E-2</v>
      </c>
      <c r="P123" s="25">
        <v>9.790319999999994E-2</v>
      </c>
      <c r="Q123" s="25">
        <v>9.790319999999994E-2</v>
      </c>
      <c r="R123" s="25">
        <v>16.083359999999999</v>
      </c>
      <c r="S123" s="25">
        <v>16.083359999999999</v>
      </c>
      <c r="T123" s="22">
        <v>8</v>
      </c>
      <c r="U123" s="22">
        <v>1</v>
      </c>
      <c r="V123" s="11">
        <v>881.81847345689675</v>
      </c>
      <c r="W123" s="22">
        <v>1</v>
      </c>
      <c r="X123" s="22">
        <v>1</v>
      </c>
      <c r="Y123" s="22" t="s">
        <v>404</v>
      </c>
      <c r="AA123" t="s">
        <v>209</v>
      </c>
      <c r="AB123" s="22">
        <v>1</v>
      </c>
      <c r="AC123" t="s">
        <v>223</v>
      </c>
      <c r="AD123" t="s">
        <v>222</v>
      </c>
      <c r="AE123" s="25">
        <v>8200.0000000000018</v>
      </c>
      <c r="AF123" s="25">
        <v>1859.5520435720682</v>
      </c>
      <c r="AG123">
        <v>2</v>
      </c>
      <c r="AH123">
        <v>1</v>
      </c>
      <c r="AK123" s="25">
        <v>0.40831567718200645</v>
      </c>
      <c r="AL123" s="25">
        <v>8.0021950232337574E-2</v>
      </c>
      <c r="AM123" s="25">
        <v>5</v>
      </c>
      <c r="AN123">
        <v>1.5</v>
      </c>
      <c r="AO123">
        <v>0.17</v>
      </c>
      <c r="AP123">
        <v>8</v>
      </c>
      <c r="AQ123">
        <v>0</v>
      </c>
      <c r="AR123">
        <v>0</v>
      </c>
      <c r="AS123">
        <v>0</v>
      </c>
      <c r="AT123" t="b">
        <v>0</v>
      </c>
      <c r="AU123" t="b">
        <v>0</v>
      </c>
      <c r="AV123">
        <v>2</v>
      </c>
      <c r="AW123" s="22" t="b">
        <v>0</v>
      </c>
      <c r="AX123" s="22" t="b">
        <v>0</v>
      </c>
      <c r="AY123" s="22">
        <v>5.4569682106375694E-12</v>
      </c>
      <c r="AZ123" s="22">
        <v>1.4551915228366852E-11</v>
      </c>
      <c r="BA123" s="30">
        <v>8200.0000000000018</v>
      </c>
      <c r="BB123" s="35">
        <v>1859.5520435720682</v>
      </c>
      <c r="BC123" s="25"/>
      <c r="BD123" s="25">
        <v>54.797442692905747</v>
      </c>
      <c r="BE123" s="25"/>
    </row>
    <row r="124" spans="1:57" x14ac:dyDescent="0.25">
      <c r="A124" t="s">
        <v>346</v>
      </c>
      <c r="B124" t="s">
        <v>405</v>
      </c>
      <c r="C124">
        <v>3</v>
      </c>
      <c r="D124">
        <v>1</v>
      </c>
      <c r="E124" t="s">
        <v>34</v>
      </c>
      <c r="F124" t="s">
        <v>409</v>
      </c>
      <c r="G124">
        <v>1</v>
      </c>
      <c r="H124">
        <v>1</v>
      </c>
      <c r="I124" s="25">
        <v>8.19</v>
      </c>
      <c r="J124">
        <v>22.499999999999979</v>
      </c>
      <c r="K124">
        <v>22.5</v>
      </c>
      <c r="L124">
        <v>22.5</v>
      </c>
      <c r="M124">
        <v>1085.7142857142858</v>
      </c>
      <c r="N124" s="25">
        <v>0.2840643130300371</v>
      </c>
      <c r="O124" s="25">
        <v>9.4688104343345708E-2</v>
      </c>
      <c r="P124" s="25">
        <v>0.30150719999999998</v>
      </c>
      <c r="Q124" s="25">
        <v>0.10050240000000001</v>
      </c>
      <c r="R124" s="25">
        <v>48.250080000000004</v>
      </c>
      <c r="S124" s="25">
        <v>16.083360000000003</v>
      </c>
      <c r="T124" s="22">
        <v>8</v>
      </c>
      <c r="U124" s="22">
        <v>1</v>
      </c>
      <c r="V124" s="11">
        <v>776.95337210933792</v>
      </c>
      <c r="W124" s="22">
        <v>1</v>
      </c>
      <c r="X124" s="22">
        <v>1</v>
      </c>
      <c r="Y124" s="22" t="s">
        <v>405</v>
      </c>
      <c r="AA124" t="s">
        <v>209</v>
      </c>
      <c r="AB124" s="22">
        <v>1</v>
      </c>
      <c r="AC124" t="s">
        <v>223</v>
      </c>
      <c r="AD124" t="s">
        <v>222</v>
      </c>
      <c r="AE124" s="25">
        <v>8600</v>
      </c>
      <c r="AF124" s="25">
        <v>1984.1065649110824</v>
      </c>
      <c r="AG124">
        <v>2</v>
      </c>
      <c r="AH124">
        <v>1</v>
      </c>
      <c r="AK124" s="25">
        <v>0.47831567718200524</v>
      </c>
      <c r="AL124" s="25">
        <v>8.0913332044339148E-2</v>
      </c>
      <c r="AM124" s="25">
        <v>6</v>
      </c>
      <c r="AN124">
        <v>1.49</v>
      </c>
      <c r="AO124">
        <v>0.17</v>
      </c>
      <c r="AP124">
        <v>8</v>
      </c>
      <c r="AQ124">
        <v>0</v>
      </c>
      <c r="AR124">
        <v>0</v>
      </c>
      <c r="AS124">
        <v>0</v>
      </c>
      <c r="AT124" t="b">
        <v>0</v>
      </c>
      <c r="AU124" t="b">
        <v>0</v>
      </c>
      <c r="AV124">
        <v>2</v>
      </c>
      <c r="AW124" s="22" t="b">
        <v>0</v>
      </c>
      <c r="AX124" s="22" t="b">
        <v>0</v>
      </c>
      <c r="AY124" s="22">
        <v>410</v>
      </c>
      <c r="AZ124" s="22">
        <v>0</v>
      </c>
      <c r="BA124" s="30">
        <v>8603.2374547345498</v>
      </c>
      <c r="BB124" s="35">
        <v>1918.7314617332202</v>
      </c>
      <c r="BC124" s="25"/>
      <c r="BD124" s="25">
        <v>55.854531161339629</v>
      </c>
      <c r="BE124" s="25"/>
    </row>
    <row r="125" spans="1:57" x14ac:dyDescent="0.25">
      <c r="A125" t="s">
        <v>347</v>
      </c>
      <c r="B125" t="s">
        <v>405</v>
      </c>
      <c r="C125">
        <v>3</v>
      </c>
      <c r="D125">
        <v>1</v>
      </c>
      <c r="E125" t="s">
        <v>34</v>
      </c>
      <c r="F125" t="s">
        <v>409</v>
      </c>
      <c r="G125">
        <v>1</v>
      </c>
      <c r="H125">
        <v>1</v>
      </c>
      <c r="I125" s="25">
        <v>8.19</v>
      </c>
      <c r="J125">
        <v>22.499999999999979</v>
      </c>
      <c r="K125">
        <v>22.5</v>
      </c>
      <c r="L125">
        <v>22.5</v>
      </c>
      <c r="M125">
        <v>1085.7142857142858</v>
      </c>
      <c r="N125" s="25">
        <v>0.2840643130300371</v>
      </c>
      <c r="O125" s="25">
        <v>9.4688104343345708E-2</v>
      </c>
      <c r="P125" s="25">
        <v>0.30150719999999998</v>
      </c>
      <c r="Q125" s="25">
        <v>0.10050240000000001</v>
      </c>
      <c r="R125" s="25">
        <v>48.250080000000004</v>
      </c>
      <c r="S125" s="25">
        <v>16.083360000000003</v>
      </c>
      <c r="T125" s="22">
        <v>8</v>
      </c>
      <c r="U125" s="22">
        <v>1</v>
      </c>
      <c r="V125" s="11">
        <v>776.95337210933792</v>
      </c>
      <c r="W125" s="22">
        <v>1</v>
      </c>
      <c r="X125" s="22">
        <v>1</v>
      </c>
      <c r="Y125" s="22" t="s">
        <v>405</v>
      </c>
      <c r="AA125" t="s">
        <v>209</v>
      </c>
      <c r="AB125" s="22">
        <v>1</v>
      </c>
      <c r="AC125" t="s">
        <v>223</v>
      </c>
      <c r="AD125" t="s">
        <v>222</v>
      </c>
      <c r="AE125" s="25">
        <v>8600</v>
      </c>
      <c r="AF125" s="25">
        <v>1984.1065649110824</v>
      </c>
      <c r="AG125">
        <v>2</v>
      </c>
      <c r="AH125">
        <v>1</v>
      </c>
      <c r="AK125" s="25">
        <v>0.47831567718200524</v>
      </c>
      <c r="AL125" s="25">
        <v>8.0913332044339148E-2</v>
      </c>
      <c r="AM125" s="25">
        <v>6</v>
      </c>
      <c r="AN125">
        <v>1.49</v>
      </c>
      <c r="AO125">
        <v>0.17</v>
      </c>
      <c r="AP125">
        <v>8</v>
      </c>
      <c r="AQ125">
        <v>0</v>
      </c>
      <c r="AR125">
        <v>0</v>
      </c>
      <c r="AS125">
        <v>0</v>
      </c>
      <c r="AT125" t="b">
        <v>0</v>
      </c>
      <c r="AU125" t="b">
        <v>0</v>
      </c>
      <c r="AV125">
        <v>2</v>
      </c>
      <c r="AW125" s="22" t="b">
        <v>0</v>
      </c>
      <c r="AX125" s="22" t="b">
        <v>0</v>
      </c>
      <c r="AY125" s="22">
        <v>410</v>
      </c>
      <c r="AZ125" s="22">
        <v>0</v>
      </c>
      <c r="BA125" s="30">
        <v>8603.2374547345498</v>
      </c>
      <c r="BB125" s="35">
        <v>1918.7314617332202</v>
      </c>
      <c r="BC125" s="25"/>
      <c r="BD125" s="25">
        <v>55.854531161339629</v>
      </c>
      <c r="BE125" s="25"/>
    </row>
    <row r="126" spans="1:57" x14ac:dyDescent="0.25">
      <c r="A126" t="s">
        <v>348</v>
      </c>
      <c r="B126" t="s">
        <v>405</v>
      </c>
      <c r="C126">
        <v>3</v>
      </c>
      <c r="D126">
        <v>1</v>
      </c>
      <c r="E126" t="s">
        <v>34</v>
      </c>
      <c r="F126" t="s">
        <v>409</v>
      </c>
      <c r="G126">
        <v>1</v>
      </c>
      <c r="H126">
        <v>1</v>
      </c>
      <c r="I126" s="25">
        <v>8.19</v>
      </c>
      <c r="J126">
        <v>22.499999999999979</v>
      </c>
      <c r="K126">
        <v>22.5</v>
      </c>
      <c r="L126">
        <v>22.5</v>
      </c>
      <c r="M126">
        <v>1085.7142857142858</v>
      </c>
      <c r="N126" s="25">
        <v>0.2840643130300371</v>
      </c>
      <c r="O126" s="25">
        <v>9.4688104343345708E-2</v>
      </c>
      <c r="P126" s="25">
        <v>0.30150719999999998</v>
      </c>
      <c r="Q126" s="25">
        <v>0.10050240000000001</v>
      </c>
      <c r="R126" s="25">
        <v>48.250080000000004</v>
      </c>
      <c r="S126" s="25">
        <v>16.083360000000003</v>
      </c>
      <c r="T126" s="22">
        <v>8</v>
      </c>
      <c r="U126" s="22">
        <v>1</v>
      </c>
      <c r="V126" s="11">
        <v>776.95337210933792</v>
      </c>
      <c r="W126" s="22">
        <v>1</v>
      </c>
      <c r="X126" s="22">
        <v>1</v>
      </c>
      <c r="Y126" s="22" t="s">
        <v>405</v>
      </c>
      <c r="AA126" t="s">
        <v>209</v>
      </c>
      <c r="AB126" s="22">
        <v>1</v>
      </c>
      <c r="AC126" t="s">
        <v>223</v>
      </c>
      <c r="AD126" t="s">
        <v>222</v>
      </c>
      <c r="AE126" s="25">
        <v>8600</v>
      </c>
      <c r="AF126" s="25">
        <v>1984.1065649110824</v>
      </c>
      <c r="AG126">
        <v>2</v>
      </c>
      <c r="AH126">
        <v>1</v>
      </c>
      <c r="AK126" s="25">
        <v>0.47831567718200524</v>
      </c>
      <c r="AL126" s="25">
        <v>8.0913332044339148E-2</v>
      </c>
      <c r="AM126" s="25">
        <v>6</v>
      </c>
      <c r="AN126">
        <v>1.49</v>
      </c>
      <c r="AO126">
        <v>0.17</v>
      </c>
      <c r="AP126">
        <v>8</v>
      </c>
      <c r="AQ126">
        <v>0</v>
      </c>
      <c r="AR126">
        <v>0</v>
      </c>
      <c r="AS126">
        <v>0</v>
      </c>
      <c r="AT126" t="b">
        <v>0</v>
      </c>
      <c r="AU126" t="b">
        <v>0</v>
      </c>
      <c r="AV126">
        <v>2</v>
      </c>
      <c r="AW126" s="22" t="b">
        <v>0</v>
      </c>
      <c r="AX126" s="22" t="b">
        <v>0</v>
      </c>
      <c r="AY126" s="22">
        <v>410</v>
      </c>
      <c r="AZ126" s="22">
        <v>0</v>
      </c>
      <c r="BA126" s="30">
        <v>8603.2374547345498</v>
      </c>
      <c r="BB126" s="35">
        <v>1918.7314617332202</v>
      </c>
      <c r="BC126" s="25"/>
      <c r="BD126" s="25">
        <v>55.854531161339629</v>
      </c>
      <c r="BE126" s="25"/>
    </row>
    <row r="127" spans="1:57" x14ac:dyDescent="0.25">
      <c r="A127" t="s">
        <v>349</v>
      </c>
      <c r="B127" t="s">
        <v>406</v>
      </c>
      <c r="C127">
        <v>6</v>
      </c>
      <c r="D127">
        <v>1</v>
      </c>
      <c r="E127" t="s">
        <v>34</v>
      </c>
      <c r="F127" t="s">
        <v>409</v>
      </c>
      <c r="G127">
        <v>1</v>
      </c>
      <c r="H127">
        <v>1</v>
      </c>
      <c r="I127" s="25">
        <v>9.3200000000000021</v>
      </c>
      <c r="J127">
        <v>26.000000000000025</v>
      </c>
      <c r="K127">
        <v>26</v>
      </c>
      <c r="L127">
        <v>26</v>
      </c>
      <c r="M127">
        <v>1120.8003154306361</v>
      </c>
      <c r="N127" s="25">
        <v>0.68308072002820153</v>
      </c>
      <c r="O127" s="25">
        <v>0.11384678667136693</v>
      </c>
      <c r="P127" s="25">
        <v>0.73297440000000003</v>
      </c>
      <c r="Q127" s="25">
        <v>0.1221624</v>
      </c>
      <c r="R127" s="25">
        <v>99.560159999999996</v>
      </c>
      <c r="S127" s="25">
        <v>16.593360000000001</v>
      </c>
      <c r="T127" s="22">
        <v>8</v>
      </c>
      <c r="U127" s="22">
        <v>1</v>
      </c>
      <c r="V127" s="11">
        <v>1032.6539548816734</v>
      </c>
      <c r="W127" s="22">
        <v>1</v>
      </c>
      <c r="X127" s="22">
        <v>1</v>
      </c>
      <c r="Y127" s="22" t="s">
        <v>406</v>
      </c>
      <c r="AA127" t="s">
        <v>210</v>
      </c>
      <c r="AB127" s="22">
        <v>1</v>
      </c>
      <c r="AC127" t="s">
        <v>223</v>
      </c>
      <c r="AD127" t="s">
        <v>222</v>
      </c>
      <c r="AE127" s="25">
        <v>10200</v>
      </c>
      <c r="AF127" s="25">
        <v>2610.9350170828402</v>
      </c>
      <c r="AG127">
        <v>2</v>
      </c>
      <c r="AH127">
        <v>1</v>
      </c>
      <c r="AK127" s="25">
        <v>0.41717895172130026</v>
      </c>
      <c r="AL127" s="25">
        <v>9.1219285303308986E-2</v>
      </c>
      <c r="AM127" s="25">
        <v>5</v>
      </c>
      <c r="AN127">
        <v>1.48</v>
      </c>
      <c r="AO127">
        <v>0.17</v>
      </c>
      <c r="AP127">
        <v>8</v>
      </c>
      <c r="AQ127">
        <v>0</v>
      </c>
      <c r="AR127">
        <v>0</v>
      </c>
      <c r="AS127">
        <v>0</v>
      </c>
      <c r="AT127" t="b">
        <v>0</v>
      </c>
      <c r="AU127" t="b">
        <v>0</v>
      </c>
      <c r="AV127">
        <v>2</v>
      </c>
      <c r="AW127" s="22" t="b">
        <v>0</v>
      </c>
      <c r="AX127" s="22" t="b">
        <v>0</v>
      </c>
      <c r="AY127" s="22">
        <v>410</v>
      </c>
      <c r="AZ127" s="22">
        <v>469.99999999999818</v>
      </c>
      <c r="BA127" s="30">
        <v>10200</v>
      </c>
      <c r="BB127" s="35">
        <v>2610.9350170828402</v>
      </c>
      <c r="BC127" s="25"/>
      <c r="BD127" s="25">
        <v>69.937119914260535</v>
      </c>
      <c r="BE127" s="25"/>
    </row>
    <row r="128" spans="1:57" x14ac:dyDescent="0.25">
      <c r="A128" t="s">
        <v>350</v>
      </c>
      <c r="B128" t="s">
        <v>406</v>
      </c>
      <c r="C128">
        <v>6</v>
      </c>
      <c r="D128">
        <v>1</v>
      </c>
      <c r="E128" t="s">
        <v>34</v>
      </c>
      <c r="F128" t="s">
        <v>409</v>
      </c>
      <c r="G128">
        <v>1</v>
      </c>
      <c r="H128">
        <v>1</v>
      </c>
      <c r="I128" s="25">
        <v>9.3200000000000021</v>
      </c>
      <c r="J128">
        <v>26.000000000000025</v>
      </c>
      <c r="K128">
        <v>26</v>
      </c>
      <c r="L128">
        <v>26</v>
      </c>
      <c r="M128">
        <v>1120.8003154306361</v>
      </c>
      <c r="N128" s="25">
        <v>0.68308072002820153</v>
      </c>
      <c r="O128" s="25">
        <v>0.11384678667136693</v>
      </c>
      <c r="P128" s="25">
        <v>0.73297440000000003</v>
      </c>
      <c r="Q128" s="25">
        <v>0.1221624</v>
      </c>
      <c r="R128" s="25">
        <v>99.560159999999996</v>
      </c>
      <c r="S128" s="25">
        <v>16.593360000000001</v>
      </c>
      <c r="T128" s="22">
        <v>8</v>
      </c>
      <c r="U128" s="22">
        <v>1</v>
      </c>
      <c r="V128" s="11">
        <v>1032.6539548816734</v>
      </c>
      <c r="W128" s="22">
        <v>1</v>
      </c>
      <c r="X128" s="22">
        <v>1</v>
      </c>
      <c r="Y128" s="22" t="s">
        <v>406</v>
      </c>
      <c r="AA128" t="s">
        <v>210</v>
      </c>
      <c r="AB128" s="22">
        <v>1</v>
      </c>
      <c r="AC128" t="s">
        <v>223</v>
      </c>
      <c r="AD128" t="s">
        <v>222</v>
      </c>
      <c r="AE128" s="25">
        <v>10200</v>
      </c>
      <c r="AF128" s="25">
        <v>2610.9350170828402</v>
      </c>
      <c r="AG128">
        <v>2</v>
      </c>
      <c r="AH128">
        <v>1</v>
      </c>
      <c r="AK128" s="25">
        <v>0.41717895172130026</v>
      </c>
      <c r="AL128" s="25">
        <v>9.1219285303308986E-2</v>
      </c>
      <c r="AM128" s="25">
        <v>5</v>
      </c>
      <c r="AN128">
        <v>1.48</v>
      </c>
      <c r="AO128">
        <v>0.17</v>
      </c>
      <c r="AP128">
        <v>8</v>
      </c>
      <c r="AQ128">
        <v>0</v>
      </c>
      <c r="AR128">
        <v>0</v>
      </c>
      <c r="AS128">
        <v>0</v>
      </c>
      <c r="AT128" t="b">
        <v>0</v>
      </c>
      <c r="AU128" t="b">
        <v>0</v>
      </c>
      <c r="AV128">
        <v>2</v>
      </c>
      <c r="AW128" s="22" t="b">
        <v>0</v>
      </c>
      <c r="AX128" s="22" t="b">
        <v>0</v>
      </c>
      <c r="AY128" s="22">
        <v>409.99999999999818</v>
      </c>
      <c r="AZ128" s="22">
        <v>469.99999999999818</v>
      </c>
      <c r="BA128" s="30">
        <v>10200</v>
      </c>
      <c r="BB128" s="35">
        <v>2610.9350170828402</v>
      </c>
      <c r="BC128" s="25"/>
      <c r="BD128" s="25">
        <v>69.937119914260535</v>
      </c>
      <c r="BE128" s="25"/>
    </row>
    <row r="129" spans="1:57" x14ac:dyDescent="0.25">
      <c r="A129" t="s">
        <v>351</v>
      </c>
      <c r="B129" t="s">
        <v>406</v>
      </c>
      <c r="C129">
        <v>6</v>
      </c>
      <c r="D129">
        <v>1</v>
      </c>
      <c r="E129" t="s">
        <v>34</v>
      </c>
      <c r="F129" t="s">
        <v>409</v>
      </c>
      <c r="G129">
        <v>1</v>
      </c>
      <c r="H129">
        <v>1</v>
      </c>
      <c r="I129" s="25">
        <v>9.3200000000000021</v>
      </c>
      <c r="J129">
        <v>26.000000000000025</v>
      </c>
      <c r="K129">
        <v>26</v>
      </c>
      <c r="L129">
        <v>26</v>
      </c>
      <c r="M129">
        <v>1120.8003154306361</v>
      </c>
      <c r="N129" s="25">
        <v>0.68308072002820153</v>
      </c>
      <c r="O129" s="25">
        <v>0.11384678667136693</v>
      </c>
      <c r="P129" s="25">
        <v>0.73297440000000003</v>
      </c>
      <c r="Q129" s="25">
        <v>0.1221624</v>
      </c>
      <c r="R129" s="25">
        <v>99.560159999999996</v>
      </c>
      <c r="S129" s="25">
        <v>16.593360000000001</v>
      </c>
      <c r="T129" s="22">
        <v>8</v>
      </c>
      <c r="U129" s="22">
        <v>1</v>
      </c>
      <c r="V129" s="11">
        <v>1032.6539548816734</v>
      </c>
      <c r="W129" s="22">
        <v>1</v>
      </c>
      <c r="X129" s="22">
        <v>1</v>
      </c>
      <c r="Y129" s="22" t="s">
        <v>406</v>
      </c>
      <c r="AA129" t="s">
        <v>210</v>
      </c>
      <c r="AB129" s="22">
        <v>1</v>
      </c>
      <c r="AC129" t="s">
        <v>223</v>
      </c>
      <c r="AD129" t="s">
        <v>222</v>
      </c>
      <c r="AE129" s="25">
        <v>10200</v>
      </c>
      <c r="AF129" s="25">
        <v>2610.9350170828402</v>
      </c>
      <c r="AG129">
        <v>2</v>
      </c>
      <c r="AH129">
        <v>1</v>
      </c>
      <c r="AK129" s="25">
        <v>0.41717895172130026</v>
      </c>
      <c r="AL129" s="25">
        <v>9.1219285303308986E-2</v>
      </c>
      <c r="AM129" s="25">
        <v>5</v>
      </c>
      <c r="AN129">
        <v>1.48</v>
      </c>
      <c r="AO129">
        <v>0.17</v>
      </c>
      <c r="AP129">
        <v>8</v>
      </c>
      <c r="AQ129">
        <v>0</v>
      </c>
      <c r="AR129">
        <v>0</v>
      </c>
      <c r="AS129">
        <v>0</v>
      </c>
      <c r="AT129" t="b">
        <v>0</v>
      </c>
      <c r="AU129" t="b">
        <v>0</v>
      </c>
      <c r="AV129">
        <v>2</v>
      </c>
      <c r="AW129" s="22" t="b">
        <v>0</v>
      </c>
      <c r="AX129" s="22" t="b">
        <v>0</v>
      </c>
      <c r="AY129" s="22">
        <v>410</v>
      </c>
      <c r="AZ129" s="22">
        <v>469.99999999999818</v>
      </c>
      <c r="BA129" s="30">
        <v>10200</v>
      </c>
      <c r="BB129" s="35">
        <v>2610.9350170828402</v>
      </c>
      <c r="BC129" s="25"/>
      <c r="BD129" s="25">
        <v>69.937119914260535</v>
      </c>
      <c r="BE129" s="25"/>
    </row>
    <row r="130" spans="1:57" x14ac:dyDescent="0.25">
      <c r="A130" t="s">
        <v>352</v>
      </c>
      <c r="B130" t="s">
        <v>406</v>
      </c>
      <c r="C130">
        <v>6</v>
      </c>
      <c r="D130">
        <v>1</v>
      </c>
      <c r="E130" t="s">
        <v>34</v>
      </c>
      <c r="F130" t="s">
        <v>409</v>
      </c>
      <c r="G130">
        <v>1</v>
      </c>
      <c r="H130">
        <v>1</v>
      </c>
      <c r="I130" s="25">
        <v>9.3200000000000021</v>
      </c>
      <c r="J130">
        <v>26.000000000000025</v>
      </c>
      <c r="K130">
        <v>26</v>
      </c>
      <c r="L130">
        <v>26</v>
      </c>
      <c r="M130">
        <v>1120.8003154306361</v>
      </c>
      <c r="N130" s="25">
        <v>0.68308072002820153</v>
      </c>
      <c r="O130" s="25">
        <v>0.11384678667136693</v>
      </c>
      <c r="P130" s="25">
        <v>0.73297440000000003</v>
      </c>
      <c r="Q130" s="25">
        <v>0.1221624</v>
      </c>
      <c r="R130" s="25">
        <v>99.560159999999996</v>
      </c>
      <c r="S130" s="25">
        <v>16.593360000000001</v>
      </c>
      <c r="T130" s="22">
        <v>8</v>
      </c>
      <c r="U130" s="22">
        <v>1</v>
      </c>
      <c r="V130" s="11">
        <v>1032.6539548816734</v>
      </c>
      <c r="W130" s="22">
        <v>1</v>
      </c>
      <c r="X130" s="22">
        <v>1</v>
      </c>
      <c r="Y130" s="22" t="s">
        <v>406</v>
      </c>
      <c r="AA130" t="s">
        <v>210</v>
      </c>
      <c r="AB130" s="22">
        <v>1</v>
      </c>
      <c r="AC130" t="s">
        <v>223</v>
      </c>
      <c r="AD130" t="s">
        <v>222</v>
      </c>
      <c r="AE130" s="25">
        <v>10200</v>
      </c>
      <c r="AF130" s="25">
        <v>2610.9350170828402</v>
      </c>
      <c r="AG130">
        <v>2</v>
      </c>
      <c r="AH130">
        <v>1</v>
      </c>
      <c r="AK130" s="25">
        <v>0.41717895172130026</v>
      </c>
      <c r="AL130" s="25">
        <v>9.1219285303308986E-2</v>
      </c>
      <c r="AM130" s="25">
        <v>5</v>
      </c>
      <c r="AN130">
        <v>1.48</v>
      </c>
      <c r="AO130">
        <v>0.17</v>
      </c>
      <c r="AP130">
        <v>8</v>
      </c>
      <c r="AQ130">
        <v>0</v>
      </c>
      <c r="AR130">
        <v>0</v>
      </c>
      <c r="AS130">
        <v>0</v>
      </c>
      <c r="AT130" t="b">
        <v>0</v>
      </c>
      <c r="AU130" t="b">
        <v>0</v>
      </c>
      <c r="AV130">
        <v>2</v>
      </c>
      <c r="AW130" s="22" t="b">
        <v>0</v>
      </c>
      <c r="AX130" s="22" t="b">
        <v>0</v>
      </c>
      <c r="AY130" s="22">
        <v>409.99999999999818</v>
      </c>
      <c r="AZ130" s="22">
        <v>469.99999999999818</v>
      </c>
      <c r="BA130" s="30">
        <v>10200</v>
      </c>
      <c r="BB130" s="35">
        <v>2610.9350170828402</v>
      </c>
      <c r="BC130" s="25"/>
      <c r="BD130" s="25">
        <v>69.937119914260535</v>
      </c>
      <c r="BE130" s="25"/>
    </row>
    <row r="131" spans="1:57" x14ac:dyDescent="0.25">
      <c r="A131" t="s">
        <v>353</v>
      </c>
      <c r="B131" t="s">
        <v>406</v>
      </c>
      <c r="C131">
        <v>6</v>
      </c>
      <c r="D131">
        <v>1</v>
      </c>
      <c r="E131" t="s">
        <v>34</v>
      </c>
      <c r="F131" t="s">
        <v>409</v>
      </c>
      <c r="G131">
        <v>1</v>
      </c>
      <c r="H131">
        <v>1</v>
      </c>
      <c r="I131" s="25">
        <v>9.3200000000000021</v>
      </c>
      <c r="J131">
        <v>26.000000000000025</v>
      </c>
      <c r="K131">
        <v>26</v>
      </c>
      <c r="L131">
        <v>26</v>
      </c>
      <c r="M131">
        <v>1120.8003154306361</v>
      </c>
      <c r="N131" s="25">
        <v>0.68308072002820153</v>
      </c>
      <c r="O131" s="25">
        <v>0.11384678667136693</v>
      </c>
      <c r="P131" s="25">
        <v>0.73297440000000003</v>
      </c>
      <c r="Q131" s="25">
        <v>0.1221624</v>
      </c>
      <c r="R131" s="25">
        <v>99.560159999999996</v>
      </c>
      <c r="S131" s="25">
        <v>16.593360000000001</v>
      </c>
      <c r="T131" s="22">
        <v>8</v>
      </c>
      <c r="U131" s="22">
        <v>1</v>
      </c>
      <c r="V131" s="11">
        <v>1032.6539548816734</v>
      </c>
      <c r="W131" s="22">
        <v>1</v>
      </c>
      <c r="X131" s="22">
        <v>1</v>
      </c>
      <c r="Y131" s="22" t="s">
        <v>406</v>
      </c>
      <c r="AA131" t="s">
        <v>210</v>
      </c>
      <c r="AB131" s="22">
        <v>1</v>
      </c>
      <c r="AC131" t="s">
        <v>223</v>
      </c>
      <c r="AD131" t="s">
        <v>222</v>
      </c>
      <c r="AE131" s="25">
        <v>10200</v>
      </c>
      <c r="AF131" s="25">
        <v>2610.9350170828402</v>
      </c>
      <c r="AG131">
        <v>2</v>
      </c>
      <c r="AH131">
        <v>1</v>
      </c>
      <c r="AK131" s="25">
        <v>0.41717895172130026</v>
      </c>
      <c r="AL131" s="25">
        <v>9.1219285303308986E-2</v>
      </c>
      <c r="AM131" s="25">
        <v>5</v>
      </c>
      <c r="AN131">
        <v>1.48</v>
      </c>
      <c r="AO131">
        <v>0.17</v>
      </c>
      <c r="AP131">
        <v>8</v>
      </c>
      <c r="AQ131">
        <v>0</v>
      </c>
      <c r="AR131">
        <v>0</v>
      </c>
      <c r="AS131">
        <v>0</v>
      </c>
      <c r="AT131" t="b">
        <v>0</v>
      </c>
      <c r="AU131" t="b">
        <v>0</v>
      </c>
      <c r="AV131">
        <v>2</v>
      </c>
      <c r="AW131" s="22" t="b">
        <v>0</v>
      </c>
      <c r="AX131" s="22" t="b">
        <v>0</v>
      </c>
      <c r="AY131" s="22">
        <v>410</v>
      </c>
      <c r="AZ131" s="22">
        <v>469.99999999999818</v>
      </c>
      <c r="BA131" s="30">
        <v>10200</v>
      </c>
      <c r="BB131" s="35">
        <v>2610.9350170828402</v>
      </c>
      <c r="BC131" s="25"/>
      <c r="BD131" s="25">
        <v>69.937119914260535</v>
      </c>
      <c r="BE131" s="25"/>
    </row>
    <row r="132" spans="1:57" x14ac:dyDescent="0.25">
      <c r="A132" t="s">
        <v>354</v>
      </c>
      <c r="B132" t="s">
        <v>406</v>
      </c>
      <c r="C132">
        <v>6</v>
      </c>
      <c r="D132">
        <v>1</v>
      </c>
      <c r="E132" t="s">
        <v>34</v>
      </c>
      <c r="F132" t="s">
        <v>409</v>
      </c>
      <c r="G132">
        <v>1</v>
      </c>
      <c r="H132">
        <v>1</v>
      </c>
      <c r="I132" s="25">
        <v>9.3200000000000021</v>
      </c>
      <c r="J132">
        <v>26.000000000000025</v>
      </c>
      <c r="K132">
        <v>26</v>
      </c>
      <c r="L132">
        <v>26</v>
      </c>
      <c r="M132">
        <v>1120.8003154306361</v>
      </c>
      <c r="N132" s="25">
        <v>0.68308072002820153</v>
      </c>
      <c r="O132" s="25">
        <v>0.11384678667136693</v>
      </c>
      <c r="P132" s="25">
        <v>0.73297440000000003</v>
      </c>
      <c r="Q132" s="25">
        <v>0.1221624</v>
      </c>
      <c r="R132" s="25">
        <v>99.560159999999996</v>
      </c>
      <c r="S132" s="25">
        <v>16.593360000000001</v>
      </c>
      <c r="T132" s="22">
        <v>8</v>
      </c>
      <c r="U132" s="22">
        <v>1</v>
      </c>
      <c r="V132" s="11">
        <v>1032.6539548816734</v>
      </c>
      <c r="W132" s="22">
        <v>1</v>
      </c>
      <c r="X132" s="22">
        <v>1</v>
      </c>
      <c r="Y132" s="22" t="s">
        <v>406</v>
      </c>
      <c r="AA132" t="s">
        <v>210</v>
      </c>
      <c r="AB132" s="22">
        <v>1</v>
      </c>
      <c r="AC132" t="s">
        <v>223</v>
      </c>
      <c r="AD132" t="s">
        <v>222</v>
      </c>
      <c r="AE132" s="25">
        <v>10200</v>
      </c>
      <c r="AF132" s="25">
        <v>2610.9350170828402</v>
      </c>
      <c r="AG132">
        <v>2</v>
      </c>
      <c r="AH132">
        <v>1</v>
      </c>
      <c r="AK132" s="25">
        <v>0.41717895172130026</v>
      </c>
      <c r="AL132" s="25">
        <v>9.1219285303308986E-2</v>
      </c>
      <c r="AM132" s="25">
        <v>5</v>
      </c>
      <c r="AN132">
        <v>1.48</v>
      </c>
      <c r="AO132">
        <v>0.17</v>
      </c>
      <c r="AP132">
        <v>8</v>
      </c>
      <c r="AQ132">
        <v>0</v>
      </c>
      <c r="AR132">
        <v>0</v>
      </c>
      <c r="AS132">
        <v>0</v>
      </c>
      <c r="AT132" t="b">
        <v>0</v>
      </c>
      <c r="AU132" t="b">
        <v>0</v>
      </c>
      <c r="AV132">
        <v>2</v>
      </c>
      <c r="AW132" s="22" t="b">
        <v>0</v>
      </c>
      <c r="AX132" s="22" t="b">
        <v>0</v>
      </c>
      <c r="AY132" s="22">
        <v>410</v>
      </c>
      <c r="AZ132" s="22">
        <v>469.99999999999818</v>
      </c>
      <c r="BA132" s="30">
        <v>10200</v>
      </c>
      <c r="BB132" s="35">
        <v>2610.9350170828402</v>
      </c>
      <c r="BC132" s="25"/>
      <c r="BD132" s="25">
        <v>69.937119914260535</v>
      </c>
      <c r="BE132" s="25"/>
    </row>
    <row r="133" spans="1:57" x14ac:dyDescent="0.25">
      <c r="A133" t="s">
        <v>355</v>
      </c>
      <c r="B133" t="s">
        <v>407</v>
      </c>
      <c r="C133">
        <v>9</v>
      </c>
      <c r="D133">
        <v>1</v>
      </c>
      <c r="E133" t="s">
        <v>34</v>
      </c>
      <c r="F133" t="s">
        <v>409</v>
      </c>
      <c r="G133">
        <v>1</v>
      </c>
      <c r="H133">
        <v>1</v>
      </c>
      <c r="I133" s="25">
        <v>9.3800000000000008</v>
      </c>
      <c r="J133">
        <v>26.000000000000028</v>
      </c>
      <c r="K133">
        <v>26</v>
      </c>
      <c r="L133">
        <v>26</v>
      </c>
      <c r="M133">
        <v>1120.8003154306361</v>
      </c>
      <c r="N133" s="25">
        <v>1.0246210800423026</v>
      </c>
      <c r="O133" s="25">
        <v>0.11384678667136694</v>
      </c>
      <c r="P133" s="25">
        <v>1.0994615999999999</v>
      </c>
      <c r="Q133" s="25">
        <v>0.1221624</v>
      </c>
      <c r="R133" s="25">
        <v>144.75024000000002</v>
      </c>
      <c r="S133" s="25">
        <v>16.083360000000003</v>
      </c>
      <c r="T133" s="22">
        <v>8</v>
      </c>
      <c r="U133" s="22">
        <v>1</v>
      </c>
      <c r="V133" s="11">
        <v>1017.1062806471969</v>
      </c>
      <c r="W133" s="22">
        <v>1</v>
      </c>
      <c r="X133" s="22">
        <v>1</v>
      </c>
      <c r="Y133" s="22" t="s">
        <v>407</v>
      </c>
      <c r="AA133" t="s">
        <v>210</v>
      </c>
      <c r="AB133" s="22">
        <v>1</v>
      </c>
      <c r="AC133" t="s">
        <v>223</v>
      </c>
      <c r="AD133" t="s">
        <v>222</v>
      </c>
      <c r="AE133" s="25">
        <v>10200</v>
      </c>
      <c r="AF133" s="25">
        <v>2610.9350170828402</v>
      </c>
      <c r="AG133">
        <v>2</v>
      </c>
      <c r="AH133">
        <v>1</v>
      </c>
      <c r="AK133" s="25">
        <v>0.41717895172130026</v>
      </c>
      <c r="AL133" s="25">
        <v>9.1219285303308972E-2</v>
      </c>
      <c r="AM133" s="25">
        <v>5</v>
      </c>
      <c r="AN133">
        <v>1.48</v>
      </c>
      <c r="AO133">
        <v>0.17</v>
      </c>
      <c r="AP133">
        <v>8</v>
      </c>
      <c r="AQ133">
        <v>0</v>
      </c>
      <c r="AR133">
        <v>0</v>
      </c>
      <c r="AS133">
        <v>0</v>
      </c>
      <c r="AT133" t="b">
        <v>0</v>
      </c>
      <c r="AU133" t="b">
        <v>0</v>
      </c>
      <c r="AV133">
        <v>2</v>
      </c>
      <c r="AW133" s="22" t="b">
        <v>0</v>
      </c>
      <c r="AX133" s="22" t="b">
        <v>0</v>
      </c>
      <c r="AY133" s="22">
        <v>410</v>
      </c>
      <c r="AZ133" s="22">
        <v>410</v>
      </c>
      <c r="BA133" s="30">
        <v>10200</v>
      </c>
      <c r="BB133" s="35">
        <v>2610.9350170828402</v>
      </c>
      <c r="BC133" s="25"/>
      <c r="BD133" s="25">
        <v>69.897084914260574</v>
      </c>
      <c r="BE133" s="25"/>
    </row>
    <row r="134" spans="1:57" x14ac:dyDescent="0.25">
      <c r="A134" t="s">
        <v>356</v>
      </c>
      <c r="B134" t="s">
        <v>407</v>
      </c>
      <c r="C134">
        <v>9</v>
      </c>
      <c r="D134">
        <v>1</v>
      </c>
      <c r="E134" t="s">
        <v>34</v>
      </c>
      <c r="F134" t="s">
        <v>409</v>
      </c>
      <c r="G134">
        <v>1</v>
      </c>
      <c r="H134">
        <v>1</v>
      </c>
      <c r="I134" s="25">
        <v>9.3800000000000008</v>
      </c>
      <c r="J134">
        <v>26.000000000000028</v>
      </c>
      <c r="K134">
        <v>26</v>
      </c>
      <c r="L134">
        <v>26</v>
      </c>
      <c r="M134">
        <v>1120.8003154306361</v>
      </c>
      <c r="N134" s="25">
        <v>1.0246210800423026</v>
      </c>
      <c r="O134" s="25">
        <v>0.11384678667136694</v>
      </c>
      <c r="P134" s="25">
        <v>1.0994615999999999</v>
      </c>
      <c r="Q134" s="25">
        <v>0.1221624</v>
      </c>
      <c r="R134" s="25">
        <v>144.75024000000002</v>
      </c>
      <c r="S134" s="25">
        <v>16.083360000000003</v>
      </c>
      <c r="T134" s="22">
        <v>8</v>
      </c>
      <c r="U134" s="22">
        <v>1</v>
      </c>
      <c r="V134" s="11">
        <v>1017.1062806471969</v>
      </c>
      <c r="W134" s="22">
        <v>1</v>
      </c>
      <c r="X134" s="22">
        <v>1</v>
      </c>
      <c r="Y134" s="22" t="s">
        <v>407</v>
      </c>
      <c r="AA134" t="s">
        <v>210</v>
      </c>
      <c r="AB134" s="22">
        <v>1</v>
      </c>
      <c r="AC134" t="s">
        <v>223</v>
      </c>
      <c r="AD134" t="s">
        <v>222</v>
      </c>
      <c r="AE134" s="25">
        <v>10200</v>
      </c>
      <c r="AF134" s="25">
        <v>2610.9350170828402</v>
      </c>
      <c r="AG134">
        <v>2</v>
      </c>
      <c r="AH134">
        <v>1</v>
      </c>
      <c r="AK134" s="25">
        <v>0.41717895172130026</v>
      </c>
      <c r="AL134" s="25">
        <v>9.1219285303308972E-2</v>
      </c>
      <c r="AM134" s="25">
        <v>5</v>
      </c>
      <c r="AN134">
        <v>1.48</v>
      </c>
      <c r="AO134">
        <v>0.17</v>
      </c>
      <c r="AP134">
        <v>8</v>
      </c>
      <c r="AQ134">
        <v>0</v>
      </c>
      <c r="AR134">
        <v>0</v>
      </c>
      <c r="AS134">
        <v>0</v>
      </c>
      <c r="AT134" t="b">
        <v>0</v>
      </c>
      <c r="AU134" t="b">
        <v>0</v>
      </c>
      <c r="AV134">
        <v>2</v>
      </c>
      <c r="AW134" s="22" t="b">
        <v>0</v>
      </c>
      <c r="AX134" s="22" t="b">
        <v>0</v>
      </c>
      <c r="AY134" s="22">
        <v>410</v>
      </c>
      <c r="AZ134" s="22">
        <v>410</v>
      </c>
      <c r="BA134" s="30">
        <v>10200</v>
      </c>
      <c r="BB134" s="35">
        <v>2610.9350170828402</v>
      </c>
      <c r="BC134" s="25"/>
      <c r="BD134" s="25">
        <v>69.897084914260574</v>
      </c>
      <c r="BE134" s="25"/>
    </row>
    <row r="135" spans="1:57" x14ac:dyDescent="0.25">
      <c r="A135" t="s">
        <v>357</v>
      </c>
      <c r="B135" t="s">
        <v>407</v>
      </c>
      <c r="C135">
        <v>9</v>
      </c>
      <c r="D135">
        <v>1</v>
      </c>
      <c r="E135" t="s">
        <v>34</v>
      </c>
      <c r="F135" t="s">
        <v>409</v>
      </c>
      <c r="G135">
        <v>1</v>
      </c>
      <c r="H135">
        <v>1</v>
      </c>
      <c r="I135" s="25">
        <v>9.3800000000000008</v>
      </c>
      <c r="J135">
        <v>26.000000000000028</v>
      </c>
      <c r="K135">
        <v>26</v>
      </c>
      <c r="L135">
        <v>26</v>
      </c>
      <c r="M135">
        <v>1120.8003154306361</v>
      </c>
      <c r="N135" s="25">
        <v>1.0246210800423026</v>
      </c>
      <c r="O135" s="25">
        <v>0.11384678667136694</v>
      </c>
      <c r="P135" s="25">
        <v>1.0994615999999999</v>
      </c>
      <c r="Q135" s="25">
        <v>0.1221624</v>
      </c>
      <c r="R135" s="25">
        <v>144.75024000000002</v>
      </c>
      <c r="S135" s="25">
        <v>16.083360000000003</v>
      </c>
      <c r="T135" s="22">
        <v>8</v>
      </c>
      <c r="U135" s="22">
        <v>1</v>
      </c>
      <c r="V135" s="11">
        <v>1017.1062806471969</v>
      </c>
      <c r="W135" s="22">
        <v>1</v>
      </c>
      <c r="X135" s="22">
        <v>1</v>
      </c>
      <c r="Y135" s="22" t="s">
        <v>407</v>
      </c>
      <c r="AA135" t="s">
        <v>210</v>
      </c>
      <c r="AB135" s="22">
        <v>1</v>
      </c>
      <c r="AC135" t="s">
        <v>223</v>
      </c>
      <c r="AD135" t="s">
        <v>222</v>
      </c>
      <c r="AE135" s="25">
        <v>10200</v>
      </c>
      <c r="AF135" s="25">
        <v>2610.9350170828402</v>
      </c>
      <c r="AG135">
        <v>2</v>
      </c>
      <c r="AH135">
        <v>1</v>
      </c>
      <c r="AK135" s="25">
        <v>0.41717895172130026</v>
      </c>
      <c r="AL135" s="25">
        <v>9.1219285303308972E-2</v>
      </c>
      <c r="AM135" s="25">
        <v>5</v>
      </c>
      <c r="AN135">
        <v>1.48</v>
      </c>
      <c r="AO135">
        <v>0.17</v>
      </c>
      <c r="AP135">
        <v>8</v>
      </c>
      <c r="AQ135">
        <v>0</v>
      </c>
      <c r="AR135">
        <v>0</v>
      </c>
      <c r="AS135">
        <v>0</v>
      </c>
      <c r="AT135" t="b">
        <v>0</v>
      </c>
      <c r="AU135" t="b">
        <v>0</v>
      </c>
      <c r="AV135">
        <v>2</v>
      </c>
      <c r="AW135" s="22" t="b">
        <v>0</v>
      </c>
      <c r="AX135" s="22" t="b">
        <v>0</v>
      </c>
      <c r="AY135" s="22">
        <v>410</v>
      </c>
      <c r="AZ135" s="22">
        <v>410</v>
      </c>
      <c r="BA135" s="30">
        <v>10200</v>
      </c>
      <c r="BB135" s="35">
        <v>2610.9350170828402</v>
      </c>
      <c r="BC135" s="25"/>
      <c r="BD135" s="25">
        <v>69.897084914260574</v>
      </c>
      <c r="BE135" s="25"/>
    </row>
    <row r="136" spans="1:57" x14ac:dyDescent="0.25">
      <c r="A136" t="s">
        <v>358</v>
      </c>
      <c r="B136" t="s">
        <v>407</v>
      </c>
      <c r="C136">
        <v>9</v>
      </c>
      <c r="D136">
        <v>1</v>
      </c>
      <c r="E136" t="s">
        <v>34</v>
      </c>
      <c r="F136" t="s">
        <v>409</v>
      </c>
      <c r="G136">
        <v>1</v>
      </c>
      <c r="H136">
        <v>1</v>
      </c>
      <c r="I136" s="25">
        <v>9.3800000000000008</v>
      </c>
      <c r="J136">
        <v>26.000000000000028</v>
      </c>
      <c r="K136">
        <v>26</v>
      </c>
      <c r="L136">
        <v>26</v>
      </c>
      <c r="M136">
        <v>1120.8003154306361</v>
      </c>
      <c r="N136" s="25">
        <v>1.0246210800423026</v>
      </c>
      <c r="O136" s="25">
        <v>0.11384678667136694</v>
      </c>
      <c r="P136" s="25">
        <v>1.0994615999999999</v>
      </c>
      <c r="Q136" s="25">
        <v>0.1221624</v>
      </c>
      <c r="R136" s="25">
        <v>144.75024000000002</v>
      </c>
      <c r="S136" s="25">
        <v>16.083360000000003</v>
      </c>
      <c r="T136" s="22">
        <v>8</v>
      </c>
      <c r="U136" s="22">
        <v>1</v>
      </c>
      <c r="V136" s="11">
        <v>1017.1062806471969</v>
      </c>
      <c r="W136" s="22">
        <v>1</v>
      </c>
      <c r="X136" s="22">
        <v>1</v>
      </c>
      <c r="Y136" s="22" t="s">
        <v>407</v>
      </c>
      <c r="AA136" t="s">
        <v>210</v>
      </c>
      <c r="AB136" s="22">
        <v>1</v>
      </c>
      <c r="AC136" t="s">
        <v>223</v>
      </c>
      <c r="AD136" t="s">
        <v>222</v>
      </c>
      <c r="AE136" s="25">
        <v>10200</v>
      </c>
      <c r="AF136" s="25">
        <v>2610.9350170828402</v>
      </c>
      <c r="AG136">
        <v>2</v>
      </c>
      <c r="AH136">
        <v>1</v>
      </c>
      <c r="AK136" s="25">
        <v>0.41717895172130026</v>
      </c>
      <c r="AL136" s="25">
        <v>9.1219285303308972E-2</v>
      </c>
      <c r="AM136" s="25">
        <v>5</v>
      </c>
      <c r="AN136">
        <v>1.48</v>
      </c>
      <c r="AO136">
        <v>0.17</v>
      </c>
      <c r="AP136">
        <v>8</v>
      </c>
      <c r="AQ136">
        <v>0</v>
      </c>
      <c r="AR136">
        <v>0</v>
      </c>
      <c r="AS136">
        <v>0</v>
      </c>
      <c r="AT136" t="b">
        <v>0</v>
      </c>
      <c r="AU136" t="b">
        <v>0</v>
      </c>
      <c r="AV136">
        <v>2</v>
      </c>
      <c r="AW136" s="22" t="b">
        <v>0</v>
      </c>
      <c r="AX136" s="22" t="b">
        <v>0</v>
      </c>
      <c r="AY136" s="22">
        <v>410</v>
      </c>
      <c r="AZ136" s="22">
        <v>410</v>
      </c>
      <c r="BA136" s="30">
        <v>10200</v>
      </c>
      <c r="BB136" s="35">
        <v>2610.9350170828402</v>
      </c>
      <c r="BC136" s="25"/>
      <c r="BD136" s="25">
        <v>69.897084914260574</v>
      </c>
      <c r="BE136" s="25"/>
    </row>
    <row r="137" spans="1:57" x14ac:dyDescent="0.25">
      <c r="A137" t="s">
        <v>359</v>
      </c>
      <c r="B137" t="s">
        <v>407</v>
      </c>
      <c r="C137">
        <v>9</v>
      </c>
      <c r="D137">
        <v>1</v>
      </c>
      <c r="E137" t="s">
        <v>34</v>
      </c>
      <c r="F137" t="s">
        <v>409</v>
      </c>
      <c r="G137">
        <v>1</v>
      </c>
      <c r="H137">
        <v>1</v>
      </c>
      <c r="I137" s="25">
        <v>9.3800000000000008</v>
      </c>
      <c r="J137">
        <v>26.000000000000028</v>
      </c>
      <c r="K137">
        <v>26</v>
      </c>
      <c r="L137">
        <v>26</v>
      </c>
      <c r="M137">
        <v>1120.8003154306361</v>
      </c>
      <c r="N137" s="25">
        <v>1.0246210800423026</v>
      </c>
      <c r="O137" s="25">
        <v>0.11384678667136694</v>
      </c>
      <c r="P137" s="25">
        <v>1.0994615999999999</v>
      </c>
      <c r="Q137" s="25">
        <v>0.1221624</v>
      </c>
      <c r="R137" s="25">
        <v>144.75024000000002</v>
      </c>
      <c r="S137" s="25">
        <v>16.083360000000003</v>
      </c>
      <c r="T137" s="22">
        <v>8</v>
      </c>
      <c r="U137" s="22">
        <v>1</v>
      </c>
      <c r="V137" s="11">
        <v>1017.1062806471969</v>
      </c>
      <c r="W137" s="22">
        <v>1</v>
      </c>
      <c r="X137" s="22">
        <v>1</v>
      </c>
      <c r="Y137" s="22" t="s">
        <v>407</v>
      </c>
      <c r="AA137" t="s">
        <v>210</v>
      </c>
      <c r="AB137" s="22">
        <v>1</v>
      </c>
      <c r="AC137" t="s">
        <v>223</v>
      </c>
      <c r="AD137" t="s">
        <v>222</v>
      </c>
      <c r="AE137" s="25">
        <v>10200</v>
      </c>
      <c r="AF137" s="25">
        <v>2610.9350170828402</v>
      </c>
      <c r="AG137">
        <v>2</v>
      </c>
      <c r="AH137">
        <v>1</v>
      </c>
      <c r="AK137" s="25">
        <v>0.41717895172130026</v>
      </c>
      <c r="AL137" s="25">
        <v>9.1219285303308972E-2</v>
      </c>
      <c r="AM137" s="25">
        <v>5</v>
      </c>
      <c r="AN137">
        <v>1.48</v>
      </c>
      <c r="AO137">
        <v>0.17</v>
      </c>
      <c r="AP137">
        <v>8</v>
      </c>
      <c r="AQ137">
        <v>0</v>
      </c>
      <c r="AR137">
        <v>0</v>
      </c>
      <c r="AS137">
        <v>0</v>
      </c>
      <c r="AT137" t="b">
        <v>0</v>
      </c>
      <c r="AU137" t="b">
        <v>0</v>
      </c>
      <c r="AV137">
        <v>2</v>
      </c>
      <c r="AW137" s="22" t="b">
        <v>0</v>
      </c>
      <c r="AX137" s="22" t="b">
        <v>0</v>
      </c>
      <c r="AY137" s="22">
        <v>410</v>
      </c>
      <c r="AZ137" s="22">
        <v>410</v>
      </c>
      <c r="BA137" s="30">
        <v>10200</v>
      </c>
      <c r="BB137" s="35">
        <v>2610.9350170828402</v>
      </c>
      <c r="BC137" s="25"/>
      <c r="BD137" s="25">
        <v>69.897084914260574</v>
      </c>
      <c r="BE137" s="25"/>
    </row>
    <row r="138" spans="1:57" x14ac:dyDescent="0.25">
      <c r="A138" t="s">
        <v>360</v>
      </c>
      <c r="B138" t="s">
        <v>407</v>
      </c>
      <c r="C138">
        <v>9</v>
      </c>
      <c r="D138">
        <v>1</v>
      </c>
      <c r="E138" t="s">
        <v>34</v>
      </c>
      <c r="F138" t="s">
        <v>409</v>
      </c>
      <c r="G138">
        <v>1</v>
      </c>
      <c r="H138">
        <v>1</v>
      </c>
      <c r="I138" s="25">
        <v>9.3800000000000008</v>
      </c>
      <c r="J138">
        <v>26.000000000000028</v>
      </c>
      <c r="K138">
        <v>26</v>
      </c>
      <c r="L138">
        <v>26</v>
      </c>
      <c r="M138">
        <v>1120.8003154306361</v>
      </c>
      <c r="N138" s="25">
        <v>1.0246210800423026</v>
      </c>
      <c r="O138" s="25">
        <v>0.11384678667136694</v>
      </c>
      <c r="P138" s="25">
        <v>1.0994615999999999</v>
      </c>
      <c r="Q138" s="25">
        <v>0.1221624</v>
      </c>
      <c r="R138" s="25">
        <v>144.75024000000002</v>
      </c>
      <c r="S138" s="25">
        <v>16.083360000000003</v>
      </c>
      <c r="T138" s="22">
        <v>8</v>
      </c>
      <c r="U138" s="22">
        <v>1</v>
      </c>
      <c r="V138" s="11">
        <v>1017.1062806471969</v>
      </c>
      <c r="W138" s="22">
        <v>1</v>
      </c>
      <c r="X138" s="22">
        <v>1</v>
      </c>
      <c r="Y138" s="22" t="s">
        <v>407</v>
      </c>
      <c r="AA138" t="s">
        <v>210</v>
      </c>
      <c r="AB138" s="22">
        <v>1</v>
      </c>
      <c r="AC138" t="s">
        <v>223</v>
      </c>
      <c r="AD138" t="s">
        <v>222</v>
      </c>
      <c r="AE138" s="25">
        <v>10200</v>
      </c>
      <c r="AF138" s="25">
        <v>2610.9350170828402</v>
      </c>
      <c r="AG138">
        <v>2</v>
      </c>
      <c r="AH138">
        <v>1</v>
      </c>
      <c r="AK138" s="25">
        <v>0.41717895172130026</v>
      </c>
      <c r="AL138" s="25">
        <v>9.1219285303308972E-2</v>
      </c>
      <c r="AM138" s="25">
        <v>5</v>
      </c>
      <c r="AN138">
        <v>1.48</v>
      </c>
      <c r="AO138">
        <v>0.17</v>
      </c>
      <c r="AP138">
        <v>8</v>
      </c>
      <c r="AQ138">
        <v>0</v>
      </c>
      <c r="AR138">
        <v>0</v>
      </c>
      <c r="AS138">
        <v>0</v>
      </c>
      <c r="AT138" t="b">
        <v>0</v>
      </c>
      <c r="AU138" t="b">
        <v>0</v>
      </c>
      <c r="AV138">
        <v>2</v>
      </c>
      <c r="AW138" s="22" t="b">
        <v>0</v>
      </c>
      <c r="AX138" s="22" t="b">
        <v>0</v>
      </c>
      <c r="AY138" s="22">
        <v>409.99999999999818</v>
      </c>
      <c r="AZ138" s="22">
        <v>410</v>
      </c>
      <c r="BA138" s="30">
        <v>10200</v>
      </c>
      <c r="BB138" s="35">
        <v>2610.9350170828402</v>
      </c>
      <c r="BC138" s="25"/>
      <c r="BD138" s="25">
        <v>69.897084914260574</v>
      </c>
      <c r="BE138" s="25"/>
    </row>
    <row r="139" spans="1:57" x14ac:dyDescent="0.25">
      <c r="A139" t="s">
        <v>361</v>
      </c>
      <c r="B139" t="s">
        <v>407</v>
      </c>
      <c r="C139">
        <v>9</v>
      </c>
      <c r="D139">
        <v>1</v>
      </c>
      <c r="E139" t="s">
        <v>34</v>
      </c>
      <c r="F139" t="s">
        <v>409</v>
      </c>
      <c r="G139">
        <v>1</v>
      </c>
      <c r="H139">
        <v>1</v>
      </c>
      <c r="I139" s="25">
        <v>9.3800000000000008</v>
      </c>
      <c r="J139">
        <v>26.000000000000028</v>
      </c>
      <c r="K139">
        <v>26</v>
      </c>
      <c r="L139">
        <v>26</v>
      </c>
      <c r="M139">
        <v>1120.8003154306361</v>
      </c>
      <c r="N139" s="25">
        <v>1.0246210800423026</v>
      </c>
      <c r="O139" s="25">
        <v>0.11384678667136694</v>
      </c>
      <c r="P139" s="25">
        <v>1.0994615999999999</v>
      </c>
      <c r="Q139" s="25">
        <v>0.1221624</v>
      </c>
      <c r="R139" s="25">
        <v>144.75024000000002</v>
      </c>
      <c r="S139" s="25">
        <v>16.083360000000003</v>
      </c>
      <c r="T139" s="22">
        <v>8</v>
      </c>
      <c r="U139" s="22">
        <v>1</v>
      </c>
      <c r="V139" s="11">
        <v>1017.1062806471969</v>
      </c>
      <c r="W139" s="22">
        <v>1</v>
      </c>
      <c r="X139" s="22">
        <v>1</v>
      </c>
      <c r="Y139" s="22" t="s">
        <v>407</v>
      </c>
      <c r="AA139" t="s">
        <v>210</v>
      </c>
      <c r="AB139" s="22">
        <v>1</v>
      </c>
      <c r="AC139" t="s">
        <v>223</v>
      </c>
      <c r="AD139" t="s">
        <v>222</v>
      </c>
      <c r="AE139" s="25">
        <v>10200</v>
      </c>
      <c r="AF139" s="25">
        <v>2610.9350170828402</v>
      </c>
      <c r="AG139">
        <v>2</v>
      </c>
      <c r="AH139">
        <v>1</v>
      </c>
      <c r="AK139" s="25">
        <v>0.41717895172130026</v>
      </c>
      <c r="AL139" s="25">
        <v>9.1219285303308972E-2</v>
      </c>
      <c r="AM139" s="25">
        <v>5</v>
      </c>
      <c r="AN139">
        <v>1.48</v>
      </c>
      <c r="AO139">
        <v>0.17</v>
      </c>
      <c r="AP139">
        <v>8</v>
      </c>
      <c r="AQ139">
        <v>0</v>
      </c>
      <c r="AR139">
        <v>0</v>
      </c>
      <c r="AS139">
        <v>0</v>
      </c>
      <c r="AT139" t="b">
        <v>0</v>
      </c>
      <c r="AU139" t="b">
        <v>0</v>
      </c>
      <c r="AV139">
        <v>2</v>
      </c>
      <c r="AW139" s="22" t="b">
        <v>0</v>
      </c>
      <c r="AX139" s="22" t="b">
        <v>0</v>
      </c>
      <c r="AY139" s="22">
        <v>410</v>
      </c>
      <c r="AZ139" s="22">
        <v>410</v>
      </c>
      <c r="BA139" s="30">
        <v>10200</v>
      </c>
      <c r="BB139" s="35">
        <v>2610.9350170828402</v>
      </c>
      <c r="BC139" s="25"/>
      <c r="BD139" s="25">
        <v>69.897084914260574</v>
      </c>
      <c r="BE139" s="25"/>
    </row>
    <row r="140" spans="1:57" x14ac:dyDescent="0.25">
      <c r="A140" t="s">
        <v>362</v>
      </c>
      <c r="B140" t="s">
        <v>407</v>
      </c>
      <c r="C140">
        <v>9</v>
      </c>
      <c r="D140">
        <v>1</v>
      </c>
      <c r="E140" t="s">
        <v>34</v>
      </c>
      <c r="F140" t="s">
        <v>409</v>
      </c>
      <c r="G140">
        <v>1</v>
      </c>
      <c r="H140">
        <v>1</v>
      </c>
      <c r="I140" s="25">
        <v>9.3800000000000008</v>
      </c>
      <c r="J140">
        <v>26.000000000000028</v>
      </c>
      <c r="K140">
        <v>26</v>
      </c>
      <c r="L140">
        <v>26</v>
      </c>
      <c r="M140">
        <v>1120.8003154306361</v>
      </c>
      <c r="N140" s="25">
        <v>1.0246210800423026</v>
      </c>
      <c r="O140" s="25">
        <v>0.11384678667136694</v>
      </c>
      <c r="P140" s="25">
        <v>1.0994615999999999</v>
      </c>
      <c r="Q140" s="25">
        <v>0.1221624</v>
      </c>
      <c r="R140" s="25">
        <v>144.75024000000002</v>
      </c>
      <c r="S140" s="25">
        <v>16.083360000000003</v>
      </c>
      <c r="T140" s="22">
        <v>8</v>
      </c>
      <c r="U140" s="22">
        <v>1</v>
      </c>
      <c r="V140" s="11">
        <v>1017.1062806471969</v>
      </c>
      <c r="W140" s="22">
        <v>1</v>
      </c>
      <c r="X140" s="22">
        <v>1</v>
      </c>
      <c r="Y140" s="22" t="s">
        <v>407</v>
      </c>
      <c r="AA140" t="s">
        <v>210</v>
      </c>
      <c r="AB140" s="22">
        <v>1</v>
      </c>
      <c r="AC140" t="s">
        <v>223</v>
      </c>
      <c r="AD140" t="s">
        <v>222</v>
      </c>
      <c r="AE140" s="25">
        <v>10200</v>
      </c>
      <c r="AF140" s="25">
        <v>2610.9350170828402</v>
      </c>
      <c r="AG140">
        <v>2</v>
      </c>
      <c r="AH140">
        <v>1</v>
      </c>
      <c r="AK140" s="25">
        <v>0.41717895172130026</v>
      </c>
      <c r="AL140" s="25">
        <v>9.1219285303308972E-2</v>
      </c>
      <c r="AM140" s="25">
        <v>5</v>
      </c>
      <c r="AN140">
        <v>1.48</v>
      </c>
      <c r="AO140">
        <v>0.17</v>
      </c>
      <c r="AP140">
        <v>8</v>
      </c>
      <c r="AQ140">
        <v>0</v>
      </c>
      <c r="AR140">
        <v>0</v>
      </c>
      <c r="AS140">
        <v>0</v>
      </c>
      <c r="AT140" t="b">
        <v>0</v>
      </c>
      <c r="AU140" t="b">
        <v>0</v>
      </c>
      <c r="AV140">
        <v>2</v>
      </c>
      <c r="AW140" s="22" t="b">
        <v>0</v>
      </c>
      <c r="AX140" s="22" t="b">
        <v>0</v>
      </c>
      <c r="AY140" s="22">
        <v>410</v>
      </c>
      <c r="AZ140" s="22">
        <v>410</v>
      </c>
      <c r="BA140" s="30">
        <v>10200</v>
      </c>
      <c r="BB140" s="35">
        <v>2610.9350170828402</v>
      </c>
      <c r="BC140" s="25"/>
      <c r="BD140" s="25">
        <v>69.897084914260574</v>
      </c>
      <c r="BE140" s="25"/>
    </row>
    <row r="141" spans="1:57" x14ac:dyDescent="0.25">
      <c r="A141" t="s">
        <v>363</v>
      </c>
      <c r="B141" t="s">
        <v>407</v>
      </c>
      <c r="C141">
        <v>9</v>
      </c>
      <c r="D141">
        <v>1</v>
      </c>
      <c r="E141" t="s">
        <v>34</v>
      </c>
      <c r="F141" t="s">
        <v>409</v>
      </c>
      <c r="G141">
        <v>1</v>
      </c>
      <c r="H141">
        <v>1</v>
      </c>
      <c r="I141" s="25">
        <v>9.3800000000000008</v>
      </c>
      <c r="J141">
        <v>26.000000000000028</v>
      </c>
      <c r="K141">
        <v>26</v>
      </c>
      <c r="L141">
        <v>26</v>
      </c>
      <c r="M141">
        <v>1120.8003154306361</v>
      </c>
      <c r="N141" s="25">
        <v>1.0246210800423026</v>
      </c>
      <c r="O141" s="25">
        <v>0.11384678667136694</v>
      </c>
      <c r="P141" s="25">
        <v>1.0994615999999999</v>
      </c>
      <c r="Q141" s="25">
        <v>0.1221624</v>
      </c>
      <c r="R141" s="25">
        <v>144.75024000000002</v>
      </c>
      <c r="S141" s="25">
        <v>16.083360000000003</v>
      </c>
      <c r="T141" s="22">
        <v>8</v>
      </c>
      <c r="U141" s="22">
        <v>1</v>
      </c>
      <c r="V141" s="11">
        <v>1017.1062806471969</v>
      </c>
      <c r="W141" s="22">
        <v>1</v>
      </c>
      <c r="X141" s="22">
        <v>1</v>
      </c>
      <c r="Y141" s="22" t="s">
        <v>407</v>
      </c>
      <c r="AA141" t="s">
        <v>210</v>
      </c>
      <c r="AB141" s="22">
        <v>1</v>
      </c>
      <c r="AC141" t="s">
        <v>223</v>
      </c>
      <c r="AD141" t="s">
        <v>222</v>
      </c>
      <c r="AE141" s="25">
        <v>10200</v>
      </c>
      <c r="AF141" s="25">
        <v>2610.9350170828402</v>
      </c>
      <c r="AG141">
        <v>2</v>
      </c>
      <c r="AH141">
        <v>1</v>
      </c>
      <c r="AK141" s="25">
        <v>0.41717895172130026</v>
      </c>
      <c r="AL141" s="25">
        <v>9.1219285303308972E-2</v>
      </c>
      <c r="AM141" s="25">
        <v>5</v>
      </c>
      <c r="AN141">
        <v>1.48</v>
      </c>
      <c r="AO141">
        <v>0.17</v>
      </c>
      <c r="AP141">
        <v>8</v>
      </c>
      <c r="AQ141">
        <v>0</v>
      </c>
      <c r="AR141">
        <v>0</v>
      </c>
      <c r="AS141">
        <v>0</v>
      </c>
      <c r="AT141" t="b">
        <v>0</v>
      </c>
      <c r="AU141" t="b">
        <v>0</v>
      </c>
      <c r="AV141">
        <v>2</v>
      </c>
      <c r="AW141" s="22" t="b">
        <v>0</v>
      </c>
      <c r="AX141" s="22" t="b">
        <v>0</v>
      </c>
      <c r="AY141" s="22">
        <v>410</v>
      </c>
      <c r="AZ141" s="22">
        <v>410</v>
      </c>
      <c r="BA141" s="30">
        <v>10200</v>
      </c>
      <c r="BB141" s="35">
        <v>2610.9350170828402</v>
      </c>
      <c r="BC141" s="25"/>
      <c r="BD141" s="25">
        <v>69.897084914260574</v>
      </c>
      <c r="BE141" s="25"/>
    </row>
    <row r="142" spans="1:57" x14ac:dyDescent="0.25">
      <c r="BC142" s="25"/>
      <c r="BD142" s="25"/>
      <c r="BE142" s="25"/>
    </row>
    <row r="143" spans="1:57" x14ac:dyDescent="0.25">
      <c r="BC143" s="25"/>
      <c r="BD143" s="25"/>
      <c r="BE143" s="25"/>
    </row>
    <row r="144" spans="1:57" x14ac:dyDescent="0.25">
      <c r="BC144" s="25"/>
      <c r="BD144" s="25"/>
      <c r="BE144" s="25"/>
    </row>
    <row r="145" spans="55:57" x14ac:dyDescent="0.25">
      <c r="BC145" s="25"/>
      <c r="BD145" s="25"/>
      <c r="BE145" s="25"/>
    </row>
    <row r="146" spans="55:57" x14ac:dyDescent="0.25">
      <c r="BC146" s="25"/>
      <c r="BD146" s="25"/>
      <c r="BE146" s="25"/>
    </row>
    <row r="147" spans="55:57" x14ac:dyDescent="0.25">
      <c r="BC147" s="25"/>
      <c r="BD147" s="25"/>
      <c r="BE147" s="25"/>
    </row>
    <row r="148" spans="55:57" x14ac:dyDescent="0.25">
      <c r="BC148" s="25"/>
      <c r="BD148" s="25"/>
      <c r="BE148" s="25"/>
    </row>
    <row r="149" spans="55:57" x14ac:dyDescent="0.25">
      <c r="BC149" s="25"/>
      <c r="BD149" s="25"/>
      <c r="BE149" s="25"/>
    </row>
    <row r="150" spans="55:57" x14ac:dyDescent="0.25">
      <c r="BC150" s="25"/>
      <c r="BD150" s="25"/>
      <c r="BE150" s="25"/>
    </row>
    <row r="151" spans="55:57" x14ac:dyDescent="0.25">
      <c r="BC151" s="25"/>
      <c r="BD151" s="25"/>
      <c r="BE151" s="25"/>
    </row>
    <row r="152" spans="55:57" x14ac:dyDescent="0.25">
      <c r="BC152" s="25"/>
      <c r="BD152" s="25"/>
      <c r="BE152" s="25"/>
    </row>
    <row r="153" spans="55:57" x14ac:dyDescent="0.25">
      <c r="BC153" s="25"/>
      <c r="BD153" s="25"/>
      <c r="BE153" s="25"/>
    </row>
    <row r="154" spans="55:57" x14ac:dyDescent="0.25">
      <c r="BC154" s="25"/>
      <c r="BD154" s="25"/>
      <c r="BE154" s="25"/>
    </row>
    <row r="155" spans="55:57" x14ac:dyDescent="0.25">
      <c r="BC155" s="25"/>
      <c r="BD155" s="25"/>
      <c r="BE155" s="25"/>
    </row>
    <row r="156" spans="55:57" x14ac:dyDescent="0.25">
      <c r="BC156" s="25"/>
      <c r="BD156" s="25"/>
      <c r="BE156" s="25"/>
    </row>
    <row r="157" spans="55:57" x14ac:dyDescent="0.25">
      <c r="BC157" s="25"/>
      <c r="BD157" s="25"/>
      <c r="BE157" s="25"/>
    </row>
    <row r="158" spans="55:57" x14ac:dyDescent="0.25">
      <c r="BC158" s="25"/>
      <c r="BD158" s="25"/>
      <c r="BE158" s="25"/>
    </row>
    <row r="159" spans="55:57" x14ac:dyDescent="0.25">
      <c r="BC159" s="25"/>
      <c r="BD159" s="25"/>
      <c r="BE159" s="25"/>
    </row>
    <row r="160" spans="55:57" x14ac:dyDescent="0.25">
      <c r="BC160" s="25"/>
      <c r="BD160" s="25"/>
      <c r="BE160" s="25"/>
    </row>
    <row r="161" spans="55:57" x14ac:dyDescent="0.25">
      <c r="BC161" s="25"/>
      <c r="BD161" s="25"/>
      <c r="BE161" s="25"/>
    </row>
    <row r="162" spans="55:57" x14ac:dyDescent="0.25">
      <c r="BC162" s="25"/>
      <c r="BD162" s="25"/>
      <c r="BE162" s="25"/>
    </row>
    <row r="163" spans="55:57" x14ac:dyDescent="0.25">
      <c r="BC163" s="25"/>
      <c r="BD163" s="25"/>
      <c r="BE163" s="25"/>
    </row>
    <row r="164" spans="55:57" x14ac:dyDescent="0.25">
      <c r="BC164" s="25"/>
      <c r="BD164" s="25"/>
      <c r="BE164" s="25"/>
    </row>
    <row r="165" spans="55:57" x14ac:dyDescent="0.25">
      <c r="BC165" s="25"/>
      <c r="BD165" s="25"/>
      <c r="BE165" s="25"/>
    </row>
    <row r="166" spans="55:57" x14ac:dyDescent="0.25">
      <c r="BC166" s="25"/>
      <c r="BD166" s="25"/>
      <c r="BE166" s="25"/>
    </row>
    <row r="167" spans="55:57" x14ac:dyDescent="0.25">
      <c r="BC167" s="25"/>
      <c r="BD167" s="25"/>
      <c r="BE167" s="25"/>
    </row>
    <row r="168" spans="55:57" x14ac:dyDescent="0.25">
      <c r="BC168" s="25"/>
      <c r="BD168" s="25"/>
      <c r="BE168" s="25"/>
    </row>
    <row r="169" spans="55:57" x14ac:dyDescent="0.25">
      <c r="BC169" s="25"/>
      <c r="BD169" s="25"/>
      <c r="BE169" s="25"/>
    </row>
    <row r="170" spans="55:57" x14ac:dyDescent="0.25">
      <c r="BC170" s="25"/>
      <c r="BD170" s="25"/>
      <c r="BE170" s="25"/>
    </row>
    <row r="171" spans="55:57" x14ac:dyDescent="0.25">
      <c r="BC171" s="25"/>
      <c r="BD171" s="25"/>
      <c r="BE171" s="25"/>
    </row>
    <row r="172" spans="55:57" x14ac:dyDescent="0.25">
      <c r="BC172" s="25"/>
      <c r="BD172" s="25"/>
      <c r="BE172" s="25"/>
    </row>
    <row r="173" spans="55:57" x14ac:dyDescent="0.25">
      <c r="BC173" s="25"/>
      <c r="BD173" s="25"/>
      <c r="BE173" s="25"/>
    </row>
    <row r="174" spans="55:57" x14ac:dyDescent="0.25">
      <c r="BC174" s="25"/>
      <c r="BD174" s="25"/>
      <c r="BE174" s="25"/>
    </row>
    <row r="175" spans="55:57" x14ac:dyDescent="0.25">
      <c r="BC175" s="25"/>
      <c r="BD175" s="25"/>
      <c r="BE175" s="25"/>
    </row>
    <row r="176" spans="55:57" x14ac:dyDescent="0.25">
      <c r="BC176" s="25"/>
      <c r="BD176" s="25"/>
      <c r="BE176" s="25"/>
    </row>
    <row r="177" spans="55:57" x14ac:dyDescent="0.25">
      <c r="BC177" s="25"/>
      <c r="BD177" s="25"/>
      <c r="BE177" s="25"/>
    </row>
    <row r="178" spans="55:57" x14ac:dyDescent="0.25">
      <c r="BC178" s="25"/>
      <c r="BD178" s="25"/>
      <c r="BE178" s="25"/>
    </row>
    <row r="179" spans="55:57" x14ac:dyDescent="0.25">
      <c r="BC179" s="25"/>
      <c r="BD179" s="25"/>
      <c r="BE179" s="25"/>
    </row>
    <row r="180" spans="55:57" x14ac:dyDescent="0.25">
      <c r="BC180" s="25"/>
      <c r="BD180" s="25"/>
      <c r="BE180" s="25"/>
    </row>
    <row r="181" spans="55:57" x14ac:dyDescent="0.25">
      <c r="BC181" s="25"/>
      <c r="BD181" s="25"/>
      <c r="BE181" s="25"/>
    </row>
    <row r="182" spans="55:57" x14ac:dyDescent="0.25">
      <c r="BC182" s="25"/>
      <c r="BD182" s="25"/>
      <c r="BE182" s="25"/>
    </row>
    <row r="183" spans="55:57" x14ac:dyDescent="0.25">
      <c r="BC183" s="25"/>
      <c r="BD183" s="25"/>
      <c r="BE183" s="25"/>
    </row>
    <row r="184" spans="55:57" x14ac:dyDescent="0.25">
      <c r="BC184" s="25"/>
      <c r="BD184" s="25"/>
      <c r="BE184" s="25"/>
    </row>
    <row r="185" spans="55:57" x14ac:dyDescent="0.25">
      <c r="BC185" s="25"/>
      <c r="BD185" s="25"/>
      <c r="BE185" s="25"/>
    </row>
    <row r="186" spans="55:57" x14ac:dyDescent="0.25">
      <c r="BC186" s="25"/>
      <c r="BD186" s="25"/>
      <c r="BE186" s="25"/>
    </row>
    <row r="187" spans="55:57" x14ac:dyDescent="0.25">
      <c r="BC187" s="25"/>
      <c r="BD187" s="25"/>
      <c r="BE187" s="25"/>
    </row>
    <row r="188" spans="55:57" x14ac:dyDescent="0.25">
      <c r="BC188" s="25"/>
      <c r="BD188" s="25"/>
      <c r="BE188" s="25"/>
    </row>
    <row r="189" spans="55:57" x14ac:dyDescent="0.25">
      <c r="BC189" s="25"/>
      <c r="BD189" s="25"/>
      <c r="BE189" s="25"/>
    </row>
    <row r="190" spans="55:57" x14ac:dyDescent="0.25">
      <c r="BC190" s="25"/>
      <c r="BD190" s="25"/>
      <c r="BE190" s="25"/>
    </row>
    <row r="191" spans="55:57" x14ac:dyDescent="0.25">
      <c r="BC191" s="25"/>
      <c r="BD191" s="25"/>
      <c r="BE191" s="25"/>
    </row>
    <row r="192" spans="55:57" x14ac:dyDescent="0.25">
      <c r="BC192" s="25"/>
      <c r="BD192" s="25"/>
      <c r="BE192" s="25"/>
    </row>
    <row r="193" spans="55:57" x14ac:dyDescent="0.25">
      <c r="BC193" s="25"/>
      <c r="BD193" s="25"/>
      <c r="BE193" s="25"/>
    </row>
    <row r="194" spans="55:57" x14ac:dyDescent="0.25">
      <c r="BC194" s="25"/>
      <c r="BD194" s="25"/>
      <c r="BE194" s="25"/>
    </row>
    <row r="195" spans="55:57" x14ac:dyDescent="0.25">
      <c r="BC195" s="25"/>
      <c r="BD195" s="25"/>
      <c r="BE195" s="25"/>
    </row>
    <row r="196" spans="55:57" x14ac:dyDescent="0.25">
      <c r="BC196" s="25"/>
      <c r="BD196" s="25"/>
      <c r="BE196" s="25"/>
    </row>
    <row r="197" spans="55:57" x14ac:dyDescent="0.25">
      <c r="BC197" s="25"/>
      <c r="BD197" s="25"/>
      <c r="BE197" s="25"/>
    </row>
    <row r="198" spans="55:57" x14ac:dyDescent="0.25">
      <c r="BC198" s="25"/>
      <c r="BD198" s="25"/>
      <c r="BE198" s="25"/>
    </row>
    <row r="199" spans="55:57" x14ac:dyDescent="0.25">
      <c r="BC199" s="25"/>
      <c r="BD199" s="25"/>
      <c r="BE199" s="25"/>
    </row>
    <row r="200" spans="55:57" x14ac:dyDescent="0.25">
      <c r="BC200" s="25"/>
      <c r="BD200" s="25"/>
      <c r="BE200" s="25"/>
    </row>
    <row r="201" spans="55:57" x14ac:dyDescent="0.25">
      <c r="BC201" s="25"/>
      <c r="BD201" s="25"/>
      <c r="BE201" s="25"/>
    </row>
    <row r="202" spans="55:57" x14ac:dyDescent="0.25">
      <c r="BC202" s="25"/>
      <c r="BD202" s="25"/>
      <c r="BE202" s="25"/>
    </row>
    <row r="203" spans="55:57" x14ac:dyDescent="0.25">
      <c r="BC203" s="25"/>
      <c r="BD203" s="25"/>
      <c r="BE203" s="25"/>
    </row>
    <row r="204" spans="55:57" x14ac:dyDescent="0.25">
      <c r="BC204" s="25"/>
      <c r="BD204" s="25"/>
      <c r="BE204" s="25"/>
    </row>
    <row r="205" spans="55:57" x14ac:dyDescent="0.25">
      <c r="BC205" s="25"/>
      <c r="BD205" s="25"/>
      <c r="BE205" s="25"/>
    </row>
    <row r="206" spans="55:57" x14ac:dyDescent="0.25">
      <c r="BC206" s="25"/>
      <c r="BD206" s="25"/>
      <c r="BE206" s="25"/>
    </row>
    <row r="207" spans="55:57" x14ac:dyDescent="0.25">
      <c r="BC207" s="25"/>
      <c r="BD207" s="25"/>
      <c r="BE207" s="25"/>
    </row>
    <row r="208" spans="55:57" x14ac:dyDescent="0.25">
      <c r="BC208" s="25"/>
      <c r="BD208" s="25"/>
      <c r="BE208" s="25"/>
    </row>
    <row r="209" spans="55:57" x14ac:dyDescent="0.25">
      <c r="BC209" s="25"/>
      <c r="BD209" s="25"/>
      <c r="BE209" s="25"/>
    </row>
    <row r="210" spans="55:57" x14ac:dyDescent="0.25">
      <c r="BC210" s="25"/>
      <c r="BD210" s="25"/>
      <c r="BE210" s="25"/>
    </row>
    <row r="211" spans="55:57" x14ac:dyDescent="0.25">
      <c r="BC211" s="25"/>
      <c r="BD211" s="25"/>
      <c r="BE211" s="25"/>
    </row>
    <row r="212" spans="55:57" x14ac:dyDescent="0.25">
      <c r="BC212" s="25"/>
      <c r="BD212" s="25"/>
      <c r="BE212" s="25"/>
    </row>
    <row r="213" spans="55:57" x14ac:dyDescent="0.25">
      <c r="BC213" s="25"/>
      <c r="BD213" s="25"/>
      <c r="BE213" s="25"/>
    </row>
    <row r="214" spans="55:57" x14ac:dyDescent="0.25">
      <c r="BC214" s="25"/>
      <c r="BD214" s="25"/>
      <c r="BE214" s="25"/>
    </row>
    <row r="215" spans="55:57" x14ac:dyDescent="0.25">
      <c r="BC215" s="25"/>
      <c r="BD215" s="25"/>
      <c r="BE215" s="25"/>
    </row>
    <row r="216" spans="55:57" x14ac:dyDescent="0.25">
      <c r="BC216" s="25"/>
      <c r="BD216" s="25"/>
      <c r="BE216" s="25"/>
    </row>
    <row r="217" spans="55:57" x14ac:dyDescent="0.25">
      <c r="BC217" s="25"/>
      <c r="BD217" s="25"/>
      <c r="BE217" s="25"/>
    </row>
    <row r="218" spans="55:57" x14ac:dyDescent="0.25">
      <c r="BC218" s="25"/>
      <c r="BD218" s="25"/>
      <c r="BE218" s="25"/>
    </row>
    <row r="219" spans="55:57" x14ac:dyDescent="0.25">
      <c r="BC219" s="25"/>
      <c r="BD219" s="25"/>
      <c r="BE219" s="25"/>
    </row>
    <row r="220" spans="55:57" x14ac:dyDescent="0.25">
      <c r="BC220" s="25"/>
      <c r="BD220" s="25"/>
      <c r="BE220" s="25"/>
    </row>
    <row r="221" spans="55:57" x14ac:dyDescent="0.25">
      <c r="BC221" s="25"/>
      <c r="BD221" s="25"/>
      <c r="BE221" s="25"/>
    </row>
    <row r="222" spans="55:57" x14ac:dyDescent="0.25">
      <c r="BC222" s="25"/>
      <c r="BD222" s="25"/>
      <c r="BE222" s="25"/>
    </row>
    <row r="223" spans="55:57" x14ac:dyDescent="0.25">
      <c r="BC223" s="25"/>
      <c r="BD223" s="25"/>
      <c r="BE223" s="25"/>
    </row>
    <row r="224" spans="55:57" x14ac:dyDescent="0.25">
      <c r="BC224" s="25"/>
      <c r="BD224" s="25"/>
      <c r="BE224" s="25"/>
    </row>
    <row r="225" spans="55:57" x14ac:dyDescent="0.25">
      <c r="BC225" s="25"/>
      <c r="BD225" s="25"/>
      <c r="BE225" s="25"/>
    </row>
    <row r="226" spans="55:57" x14ac:dyDescent="0.25">
      <c r="BC226" s="25"/>
      <c r="BD226" s="25"/>
      <c r="BE226" s="25"/>
    </row>
    <row r="227" spans="55:57" x14ac:dyDescent="0.25">
      <c r="BC227" s="25"/>
      <c r="BD227" s="25"/>
      <c r="BE227" s="25"/>
    </row>
    <row r="228" spans="55:57" x14ac:dyDescent="0.25">
      <c r="BC228" s="25"/>
      <c r="BD228" s="25"/>
      <c r="BE228" s="25"/>
    </row>
    <row r="229" spans="55:57" x14ac:dyDescent="0.25">
      <c r="BC229" s="25"/>
      <c r="BD229" s="25"/>
      <c r="BE229" s="25"/>
    </row>
    <row r="230" spans="55:57" x14ac:dyDescent="0.25">
      <c r="BC230" s="25"/>
      <c r="BD230" s="25"/>
      <c r="BE230" s="25"/>
    </row>
    <row r="231" spans="55:57" x14ac:dyDescent="0.25">
      <c r="BC231" s="25"/>
      <c r="BD231" s="25"/>
      <c r="BE231" s="25"/>
    </row>
    <row r="232" spans="55:57" x14ac:dyDescent="0.25">
      <c r="BC232" s="25"/>
      <c r="BD232" s="25"/>
      <c r="BE232" s="25"/>
    </row>
    <row r="233" spans="55:57" x14ac:dyDescent="0.25">
      <c r="BC233" s="25"/>
      <c r="BD233" s="25"/>
      <c r="BE233" s="25"/>
    </row>
    <row r="234" spans="55:57" x14ac:dyDescent="0.25">
      <c r="BC234" s="25"/>
      <c r="BD234" s="25"/>
      <c r="BE234" s="25"/>
    </row>
    <row r="235" spans="55:57" x14ac:dyDescent="0.25">
      <c r="BC235" s="25"/>
      <c r="BD235" s="25"/>
      <c r="BE235" s="25"/>
    </row>
    <row r="236" spans="55:57" x14ac:dyDescent="0.25">
      <c r="BC236" s="25"/>
      <c r="BD236" s="25"/>
      <c r="BE236" s="25"/>
    </row>
    <row r="237" spans="55:57" x14ac:dyDescent="0.25">
      <c r="BC237" s="25"/>
      <c r="BD237" s="25"/>
      <c r="BE237" s="25"/>
    </row>
    <row r="238" spans="55:57" x14ac:dyDescent="0.25">
      <c r="BC238" s="25"/>
      <c r="BD238" s="25"/>
      <c r="BE238" s="25"/>
    </row>
    <row r="239" spans="55:57" x14ac:dyDescent="0.25">
      <c r="BC239" s="25"/>
      <c r="BD239" s="25"/>
      <c r="BE239" s="25"/>
    </row>
    <row r="240" spans="55:57" x14ac:dyDescent="0.25">
      <c r="BC240" s="25"/>
      <c r="BD240" s="25"/>
      <c r="BE240" s="25"/>
    </row>
    <row r="241" spans="55:57" x14ac:dyDescent="0.25">
      <c r="BC241" s="25"/>
      <c r="BD241" s="25"/>
      <c r="BE241" s="25"/>
    </row>
    <row r="242" spans="55:57" x14ac:dyDescent="0.25">
      <c r="BC242" s="25"/>
      <c r="BD242" s="25"/>
      <c r="BE242" s="25"/>
    </row>
    <row r="243" spans="55:57" x14ac:dyDescent="0.25">
      <c r="BC243" s="25"/>
      <c r="BD243" s="25"/>
      <c r="BE243" s="25"/>
    </row>
    <row r="244" spans="55:57" x14ac:dyDescent="0.25">
      <c r="BC244" s="25"/>
      <c r="BD244" s="25"/>
      <c r="BE244" s="25"/>
    </row>
    <row r="245" spans="55:57" x14ac:dyDescent="0.25">
      <c r="BC245" s="25"/>
      <c r="BD245" s="25"/>
      <c r="BE245" s="25"/>
    </row>
    <row r="246" spans="55:57" x14ac:dyDescent="0.25">
      <c r="BC246" s="25"/>
      <c r="BD246" s="25"/>
      <c r="BE246" s="25"/>
    </row>
    <row r="247" spans="55:57" x14ac:dyDescent="0.25">
      <c r="BC247" s="25"/>
      <c r="BD247" s="25"/>
      <c r="BE247" s="25"/>
    </row>
    <row r="248" spans="55:57" x14ac:dyDescent="0.25">
      <c r="BC248" s="25"/>
      <c r="BD248" s="25"/>
      <c r="BE248" s="25"/>
    </row>
    <row r="249" spans="55:57" x14ac:dyDescent="0.25">
      <c r="BC249" s="25"/>
      <c r="BD249" s="25"/>
      <c r="BE249" s="25"/>
    </row>
    <row r="250" spans="55:57" x14ac:dyDescent="0.25">
      <c r="BC250" s="25"/>
      <c r="BD250" s="25"/>
      <c r="BE250" s="25"/>
    </row>
    <row r="251" spans="55:57" x14ac:dyDescent="0.25">
      <c r="BC251" s="25"/>
      <c r="BD251" s="25"/>
      <c r="BE251" s="25"/>
    </row>
    <row r="252" spans="55:57" x14ac:dyDescent="0.25">
      <c r="BC252" s="25"/>
      <c r="BD252" s="25"/>
      <c r="BE252" s="25"/>
    </row>
    <row r="253" spans="55:57" x14ac:dyDescent="0.25">
      <c r="BC253" s="25"/>
      <c r="BD253" s="25"/>
      <c r="BE253" s="25"/>
    </row>
    <row r="254" spans="55:57" x14ac:dyDescent="0.25">
      <c r="BC254" s="25"/>
      <c r="BD254" s="25"/>
      <c r="BE254" s="25"/>
    </row>
    <row r="255" spans="55:57" x14ac:dyDescent="0.25">
      <c r="BC255" s="25"/>
      <c r="BD255" s="25"/>
      <c r="BE255" s="25"/>
    </row>
    <row r="256" spans="55:57" x14ac:dyDescent="0.25">
      <c r="BC256" s="25"/>
      <c r="BD256" s="25"/>
      <c r="BE256" s="25"/>
    </row>
    <row r="257" spans="55:57" x14ac:dyDescent="0.25">
      <c r="BC257" s="25"/>
      <c r="BD257" s="25"/>
      <c r="BE257" s="25"/>
    </row>
    <row r="258" spans="55:57" x14ac:dyDescent="0.25">
      <c r="BC258" s="25"/>
      <c r="BD258" s="25"/>
      <c r="BE258" s="25"/>
    </row>
    <row r="259" spans="55:57" x14ac:dyDescent="0.25">
      <c r="BC259" s="25"/>
      <c r="BD259" s="25"/>
      <c r="BE259" s="25"/>
    </row>
    <row r="260" spans="55:57" x14ac:dyDescent="0.25">
      <c r="BC260" s="25"/>
      <c r="BD260" s="25"/>
      <c r="BE260" s="25"/>
    </row>
    <row r="261" spans="55:57" x14ac:dyDescent="0.25">
      <c r="BC261" s="25"/>
      <c r="BD261" s="25"/>
      <c r="BE261" s="25"/>
    </row>
    <row r="262" spans="55:57" x14ac:dyDescent="0.25">
      <c r="BC262" s="25"/>
      <c r="BD262" s="25"/>
      <c r="BE262" s="25"/>
    </row>
    <row r="263" spans="55:57" x14ac:dyDescent="0.25">
      <c r="BC263" s="25"/>
      <c r="BD263" s="25"/>
      <c r="BE263" s="25"/>
    </row>
    <row r="264" spans="55:57" x14ac:dyDescent="0.25">
      <c r="BC264" s="25"/>
      <c r="BD264" s="25"/>
      <c r="BE264" s="25"/>
    </row>
    <row r="265" spans="55:57" x14ac:dyDescent="0.25">
      <c r="BC265" s="25"/>
      <c r="BD265" s="25"/>
      <c r="BE265" s="25"/>
    </row>
    <row r="266" spans="55:57" x14ac:dyDescent="0.25">
      <c r="BC266" s="25"/>
      <c r="BD266" s="25"/>
      <c r="BE266" s="25"/>
    </row>
    <row r="267" spans="55:57" x14ac:dyDescent="0.25">
      <c r="BC267" s="25"/>
      <c r="BD267" s="25"/>
      <c r="BE267" s="25"/>
    </row>
    <row r="268" spans="55:57" x14ac:dyDescent="0.25">
      <c r="BC268" s="25"/>
      <c r="BD268" s="25"/>
      <c r="BE268" s="25"/>
    </row>
    <row r="269" spans="55:57" x14ac:dyDescent="0.25">
      <c r="BC269" s="25"/>
      <c r="BD269" s="25"/>
      <c r="BE269" s="25"/>
    </row>
    <row r="270" spans="55:57" x14ac:dyDescent="0.25">
      <c r="BC270" s="25"/>
      <c r="BD270" s="25"/>
      <c r="BE270" s="25"/>
    </row>
    <row r="271" spans="55:57" x14ac:dyDescent="0.25">
      <c r="BC271" s="25"/>
      <c r="BD271" s="25"/>
      <c r="BE271" s="25"/>
    </row>
    <row r="272" spans="55:57" x14ac:dyDescent="0.25">
      <c r="BC272" s="25"/>
      <c r="BD272" s="25"/>
      <c r="BE272" s="25"/>
    </row>
    <row r="273" spans="55:57" x14ac:dyDescent="0.25">
      <c r="BC273" s="25"/>
      <c r="BD273" s="25"/>
      <c r="BE273" s="25"/>
    </row>
    <row r="274" spans="55:57" x14ac:dyDescent="0.25">
      <c r="BC274" s="25"/>
      <c r="BD274" s="25"/>
      <c r="BE274" s="25"/>
    </row>
    <row r="275" spans="55:57" x14ac:dyDescent="0.25">
      <c r="BC275" s="25"/>
      <c r="BD275" s="25"/>
      <c r="BE275" s="25"/>
    </row>
    <row r="276" spans="55:57" x14ac:dyDescent="0.25">
      <c r="BC276" s="25"/>
      <c r="BD276" s="25"/>
      <c r="BE276" s="25"/>
    </row>
    <row r="277" spans="55:57" x14ac:dyDescent="0.25">
      <c r="BC277" s="25"/>
      <c r="BD277" s="25"/>
      <c r="BE277" s="25"/>
    </row>
    <row r="278" spans="55:57" x14ac:dyDescent="0.25">
      <c r="BC278" s="25"/>
      <c r="BD278" s="25"/>
      <c r="BE278" s="25"/>
    </row>
    <row r="279" spans="55:57" x14ac:dyDescent="0.25">
      <c r="BC279" s="25"/>
      <c r="BD279" s="25"/>
      <c r="BE279" s="25"/>
    </row>
    <row r="280" spans="55:57" x14ac:dyDescent="0.25">
      <c r="BC280" s="25"/>
      <c r="BD280" s="25"/>
      <c r="BE280" s="25"/>
    </row>
    <row r="281" spans="55:57" x14ac:dyDescent="0.25">
      <c r="BC281" s="25"/>
      <c r="BD281" s="25"/>
      <c r="BE281" s="25"/>
    </row>
    <row r="282" spans="55:57" x14ac:dyDescent="0.25">
      <c r="BC282" s="25"/>
      <c r="BD282" s="25"/>
      <c r="BE282" s="25"/>
    </row>
    <row r="283" spans="55:57" x14ac:dyDescent="0.25">
      <c r="BC283" s="25"/>
      <c r="BD283" s="25"/>
      <c r="BE283" s="25"/>
    </row>
    <row r="284" spans="55:57" x14ac:dyDescent="0.25">
      <c r="BC284" s="25"/>
      <c r="BD284" s="25"/>
      <c r="BE284" s="25"/>
    </row>
    <row r="285" spans="55:57" x14ac:dyDescent="0.25">
      <c r="BC285" s="25"/>
      <c r="BD285" s="25"/>
      <c r="BE285" s="25"/>
    </row>
    <row r="286" spans="55:57" x14ac:dyDescent="0.25">
      <c r="BC286" s="25"/>
      <c r="BD286" s="25"/>
      <c r="BE286" s="25"/>
    </row>
    <row r="287" spans="55:57" x14ac:dyDescent="0.25">
      <c r="BC287" s="25"/>
      <c r="BD287" s="25"/>
      <c r="BE287" s="25"/>
    </row>
    <row r="288" spans="55:57" x14ac:dyDescent="0.25">
      <c r="BC288" s="25"/>
      <c r="BD288" s="25"/>
      <c r="BE288" s="25"/>
    </row>
    <row r="289" spans="55:57" x14ac:dyDescent="0.25">
      <c r="BC289" s="25"/>
      <c r="BD289" s="25"/>
      <c r="BE289" s="25"/>
    </row>
    <row r="290" spans="55:57" x14ac:dyDescent="0.25">
      <c r="BC290" s="25"/>
      <c r="BD290" s="25"/>
      <c r="BE290" s="25"/>
    </row>
    <row r="291" spans="55:57" x14ac:dyDescent="0.25">
      <c r="BC291" s="25"/>
      <c r="BD291" s="25"/>
      <c r="BE291" s="25"/>
    </row>
    <row r="292" spans="55:57" x14ac:dyDescent="0.25">
      <c r="BC292" s="25"/>
      <c r="BD292" s="25"/>
      <c r="BE292" s="25"/>
    </row>
    <row r="293" spans="55:57" x14ac:dyDescent="0.25">
      <c r="BC293" s="25"/>
      <c r="BD293" s="25"/>
      <c r="BE293" s="25"/>
    </row>
    <row r="294" spans="55:57" x14ac:dyDescent="0.25">
      <c r="BC294" s="25"/>
      <c r="BD294" s="25"/>
      <c r="BE294" s="25"/>
    </row>
    <row r="295" spans="55:57" x14ac:dyDescent="0.25">
      <c r="BC295" s="25"/>
      <c r="BD295" s="25"/>
      <c r="BE295" s="25"/>
    </row>
    <row r="296" spans="55:57" x14ac:dyDescent="0.25">
      <c r="BC296" s="25"/>
      <c r="BD296" s="25"/>
      <c r="BE296" s="25"/>
    </row>
    <row r="297" spans="55:57" x14ac:dyDescent="0.25">
      <c r="BC297" s="25"/>
      <c r="BD297" s="25"/>
      <c r="BE297" s="25"/>
    </row>
    <row r="298" spans="55:57" x14ac:dyDescent="0.25">
      <c r="BC298" s="25"/>
      <c r="BD298" s="25"/>
      <c r="BE298" s="25"/>
    </row>
    <row r="299" spans="55:57" x14ac:dyDescent="0.25">
      <c r="BC299" s="25"/>
      <c r="BD299" s="25"/>
      <c r="BE299" s="25"/>
    </row>
    <row r="300" spans="55:57" x14ac:dyDescent="0.25">
      <c r="BC300" s="25"/>
      <c r="BD300" s="25"/>
      <c r="BE300" s="25"/>
    </row>
    <row r="301" spans="55:57" x14ac:dyDescent="0.25">
      <c r="BC301" s="25"/>
      <c r="BD301" s="25"/>
      <c r="BE301" s="25"/>
    </row>
    <row r="302" spans="55:57" x14ac:dyDescent="0.25">
      <c r="BC302" s="25"/>
      <c r="BD302" s="25"/>
      <c r="BE302" s="25"/>
    </row>
    <row r="303" spans="55:57" x14ac:dyDescent="0.25">
      <c r="BC303" s="25"/>
      <c r="BD303" s="25"/>
      <c r="BE303" s="25"/>
    </row>
    <row r="304" spans="55:57" x14ac:dyDescent="0.25">
      <c r="BC304" s="25"/>
      <c r="BD304" s="25"/>
      <c r="BE304" s="25"/>
    </row>
    <row r="305" spans="55:57" x14ac:dyDescent="0.25">
      <c r="BC305" s="25"/>
      <c r="BD305" s="25"/>
      <c r="BE305" s="25"/>
    </row>
    <row r="306" spans="55:57" x14ac:dyDescent="0.25">
      <c r="BC306" s="25"/>
      <c r="BD306" s="25"/>
      <c r="BE306" s="25"/>
    </row>
    <row r="307" spans="55:57" x14ac:dyDescent="0.25">
      <c r="BC307" s="25"/>
      <c r="BD307" s="25"/>
      <c r="BE307" s="25"/>
    </row>
    <row r="308" spans="55:57" x14ac:dyDescent="0.25">
      <c r="BC308" s="25"/>
      <c r="BD308" s="25"/>
      <c r="BE308" s="25"/>
    </row>
    <row r="309" spans="55:57" x14ac:dyDescent="0.25">
      <c r="BC309" s="25"/>
      <c r="BD309" s="25"/>
      <c r="BE309" s="25"/>
    </row>
    <row r="310" spans="55:57" x14ac:dyDescent="0.25">
      <c r="BC310" s="25"/>
      <c r="BD310" s="25"/>
      <c r="BE310" s="25"/>
    </row>
    <row r="311" spans="55:57" x14ac:dyDescent="0.25">
      <c r="BC311" s="25"/>
      <c r="BD311" s="25"/>
      <c r="BE311" s="25"/>
    </row>
    <row r="312" spans="55:57" x14ac:dyDescent="0.25">
      <c r="BC312" s="25"/>
      <c r="BD312" s="25"/>
      <c r="BE312" s="25"/>
    </row>
    <row r="313" spans="55:57" x14ac:dyDescent="0.25">
      <c r="BC313" s="25"/>
      <c r="BD313" s="25"/>
      <c r="BE313" s="25"/>
    </row>
    <row r="314" spans="55:57" x14ac:dyDescent="0.25">
      <c r="BC314" s="25"/>
      <c r="BD314" s="25"/>
      <c r="BE314" s="25"/>
    </row>
    <row r="315" spans="55:57" x14ac:dyDescent="0.25">
      <c r="BC315" s="25"/>
      <c r="BD315" s="25"/>
      <c r="BE315" s="25"/>
    </row>
    <row r="316" spans="55:57" x14ac:dyDescent="0.25">
      <c r="BC316" s="25"/>
      <c r="BD316" s="25"/>
      <c r="BE316" s="25"/>
    </row>
    <row r="317" spans="55:57" x14ac:dyDescent="0.25">
      <c r="BC317" s="25"/>
      <c r="BD317" s="25"/>
      <c r="BE317" s="25"/>
    </row>
    <row r="318" spans="55:57" x14ac:dyDescent="0.25">
      <c r="BC318" s="25"/>
      <c r="BD318" s="25"/>
      <c r="BE318" s="25"/>
    </row>
    <row r="319" spans="55:57" x14ac:dyDescent="0.25">
      <c r="BC319" s="25"/>
      <c r="BD319" s="25"/>
      <c r="BE319" s="25"/>
    </row>
    <row r="320" spans="55:57" x14ac:dyDescent="0.25">
      <c r="BC320" s="25"/>
      <c r="BD320" s="25"/>
      <c r="BE320" s="25"/>
    </row>
    <row r="321" spans="55:57" x14ac:dyDescent="0.25">
      <c r="BC321" s="25"/>
      <c r="BD321" s="25"/>
      <c r="BE321" s="25"/>
    </row>
    <row r="322" spans="55:57" x14ac:dyDescent="0.25">
      <c r="BC322" s="25"/>
      <c r="BD322" s="25"/>
      <c r="BE322" s="25"/>
    </row>
    <row r="323" spans="55:57" x14ac:dyDescent="0.25">
      <c r="BC323" s="25"/>
      <c r="BD323" s="25"/>
      <c r="BE323" s="25"/>
    </row>
    <row r="324" spans="55:57" x14ac:dyDescent="0.25">
      <c r="BC324" s="25"/>
      <c r="BD324" s="25"/>
      <c r="BE324" s="25"/>
    </row>
    <row r="325" spans="55:57" x14ac:dyDescent="0.25">
      <c r="BC325" s="25"/>
      <c r="BD325" s="25"/>
      <c r="BE325" s="25"/>
    </row>
    <row r="326" spans="55:57" x14ac:dyDescent="0.25">
      <c r="BC326" s="25"/>
      <c r="BD326" s="25"/>
      <c r="BE326" s="25"/>
    </row>
    <row r="327" spans="55:57" x14ac:dyDescent="0.25">
      <c r="BC327" s="25"/>
      <c r="BD327" s="25"/>
      <c r="BE327" s="25"/>
    </row>
    <row r="328" spans="55:57" x14ac:dyDescent="0.25">
      <c r="BC328" s="25"/>
      <c r="BD328" s="25"/>
      <c r="BE328" s="25"/>
    </row>
    <row r="329" spans="55:57" x14ac:dyDescent="0.25">
      <c r="BC329" s="25"/>
      <c r="BD329" s="25"/>
      <c r="BE329" s="25"/>
    </row>
    <row r="330" spans="55:57" x14ac:dyDescent="0.25">
      <c r="BC330" s="25"/>
      <c r="BD330" s="25"/>
      <c r="BE330" s="25"/>
    </row>
    <row r="331" spans="55:57" x14ac:dyDescent="0.25">
      <c r="BC331" s="25"/>
      <c r="BD331" s="25"/>
      <c r="BE331" s="25"/>
    </row>
    <row r="332" spans="55:57" x14ac:dyDescent="0.25">
      <c r="BC332" s="25"/>
      <c r="BD332" s="25"/>
      <c r="BE332" s="25"/>
    </row>
    <row r="333" spans="55:57" x14ac:dyDescent="0.25">
      <c r="BC333" s="25"/>
      <c r="BD333" s="25"/>
      <c r="BE333" s="25"/>
    </row>
    <row r="334" spans="55:57" x14ac:dyDescent="0.25">
      <c r="BC334" s="25"/>
      <c r="BD334" s="25"/>
      <c r="BE334" s="25"/>
    </row>
    <row r="335" spans="55:57" x14ac:dyDescent="0.25">
      <c r="BC335" s="25"/>
      <c r="BD335" s="25"/>
      <c r="BE335" s="25"/>
    </row>
    <row r="336" spans="55:57" x14ac:dyDescent="0.25">
      <c r="BC336" s="25"/>
      <c r="BD336" s="25"/>
      <c r="BE336" s="25"/>
    </row>
    <row r="337" spans="55:57" x14ac:dyDescent="0.25">
      <c r="BC337" s="25"/>
      <c r="BD337" s="25"/>
      <c r="BE337" s="25"/>
    </row>
    <row r="338" spans="55:57" x14ac:dyDescent="0.25">
      <c r="BC338" s="25"/>
      <c r="BD338" s="25"/>
      <c r="BE338" s="25"/>
    </row>
    <row r="339" spans="55:57" x14ac:dyDescent="0.25">
      <c r="BC339" s="25"/>
      <c r="BD339" s="25"/>
      <c r="BE339" s="25"/>
    </row>
    <row r="340" spans="55:57" x14ac:dyDescent="0.25">
      <c r="BC340" s="25"/>
      <c r="BD340" s="25"/>
      <c r="BE340" s="25"/>
    </row>
    <row r="341" spans="55:57" x14ac:dyDescent="0.25">
      <c r="BC341" s="25"/>
      <c r="BD341" s="25"/>
      <c r="BE341" s="25"/>
    </row>
    <row r="342" spans="55:57" x14ac:dyDescent="0.25">
      <c r="BC342" s="25"/>
      <c r="BD342" s="25"/>
      <c r="BE342" s="25"/>
    </row>
    <row r="343" spans="55:57" x14ac:dyDescent="0.25">
      <c r="BC343" s="25"/>
      <c r="BD343" s="25"/>
      <c r="BE343" s="25"/>
    </row>
    <row r="344" spans="55:57" x14ac:dyDescent="0.25">
      <c r="BC344" s="25"/>
      <c r="BD344" s="25"/>
      <c r="BE344" s="25"/>
    </row>
    <row r="345" spans="55:57" x14ac:dyDescent="0.25">
      <c r="BC345" s="25"/>
      <c r="BD345" s="25"/>
      <c r="BE345" s="25"/>
    </row>
    <row r="346" spans="55:57" x14ac:dyDescent="0.25">
      <c r="BC346" s="25"/>
      <c r="BD346" s="25"/>
      <c r="BE346" s="25"/>
    </row>
    <row r="347" spans="55:57" x14ac:dyDescent="0.25">
      <c r="BC347" s="25"/>
      <c r="BD347" s="25"/>
      <c r="BE347" s="25"/>
    </row>
    <row r="348" spans="55:57" x14ac:dyDescent="0.25">
      <c r="BC348" s="25"/>
      <c r="BD348" s="25"/>
      <c r="BE348" s="25"/>
    </row>
    <row r="349" spans="55:57" x14ac:dyDescent="0.25">
      <c r="BC349" s="25"/>
      <c r="BD349" s="25"/>
      <c r="BE349" s="25"/>
    </row>
    <row r="350" spans="55:57" x14ac:dyDescent="0.25">
      <c r="BC350" s="25"/>
      <c r="BD350" s="25"/>
      <c r="BE350" s="25"/>
    </row>
    <row r="351" spans="55:57" x14ac:dyDescent="0.25">
      <c r="BC351" s="25"/>
      <c r="BD351" s="25"/>
      <c r="BE351" s="25"/>
    </row>
    <row r="352" spans="55:57" x14ac:dyDescent="0.25">
      <c r="BC352" s="25"/>
      <c r="BD352" s="25"/>
      <c r="BE352" s="25"/>
    </row>
    <row r="353" spans="55:57" x14ac:dyDescent="0.25">
      <c r="BC353" s="25"/>
      <c r="BD353" s="25"/>
      <c r="BE353" s="25"/>
    </row>
    <row r="354" spans="55:57" x14ac:dyDescent="0.25">
      <c r="BC354" s="25"/>
      <c r="BD354" s="25"/>
      <c r="BE354" s="25"/>
    </row>
    <row r="355" spans="55:57" x14ac:dyDescent="0.25">
      <c r="BC355" s="25"/>
      <c r="BD355" s="25"/>
      <c r="BE355" s="25"/>
    </row>
    <row r="356" spans="55:57" x14ac:dyDescent="0.25">
      <c r="BC356" s="25"/>
      <c r="BD356" s="25"/>
      <c r="BE356" s="25"/>
    </row>
    <row r="357" spans="55:57" x14ac:dyDescent="0.25">
      <c r="BC357" s="25"/>
      <c r="BD357" s="25"/>
      <c r="BE357" s="25"/>
    </row>
    <row r="358" spans="55:57" x14ac:dyDescent="0.25">
      <c r="BC358" s="25"/>
      <c r="BD358" s="25"/>
      <c r="BE358" s="25"/>
    </row>
    <row r="359" spans="55:57" x14ac:dyDescent="0.25">
      <c r="BC359" s="25"/>
      <c r="BD359" s="25"/>
      <c r="BE359" s="25"/>
    </row>
    <row r="360" spans="55:57" x14ac:dyDescent="0.25">
      <c r="BC360" s="25"/>
      <c r="BD360" s="25"/>
      <c r="BE360" s="25"/>
    </row>
    <row r="361" spans="55:57" x14ac:dyDescent="0.25">
      <c r="BC361" s="25"/>
      <c r="BD361" s="25"/>
      <c r="BE361" s="25"/>
    </row>
    <row r="362" spans="55:57" x14ac:dyDescent="0.25">
      <c r="BC362" s="25"/>
      <c r="BD362" s="25"/>
      <c r="BE362" s="25"/>
    </row>
    <row r="363" spans="55:57" x14ac:dyDescent="0.25">
      <c r="BC363" s="25"/>
      <c r="BD363" s="25"/>
      <c r="BE363" s="25"/>
    </row>
    <row r="364" spans="55:57" x14ac:dyDescent="0.25">
      <c r="BC364" s="25"/>
      <c r="BD364" s="25"/>
      <c r="BE364" s="25"/>
    </row>
    <row r="365" spans="55:57" x14ac:dyDescent="0.25">
      <c r="BC365" s="25"/>
      <c r="BD365" s="25"/>
      <c r="BE365" s="25"/>
    </row>
    <row r="366" spans="55:57" x14ac:dyDescent="0.25">
      <c r="BC366" s="25"/>
      <c r="BD366" s="25"/>
      <c r="BE366" s="25"/>
    </row>
    <row r="367" spans="55:57" x14ac:dyDescent="0.25">
      <c r="BC367" s="25"/>
      <c r="BD367" s="25"/>
      <c r="BE367" s="25"/>
    </row>
    <row r="368" spans="55:57" x14ac:dyDescent="0.25">
      <c r="BC368" s="25"/>
      <c r="BD368" s="25"/>
      <c r="BE368" s="25"/>
    </row>
    <row r="369" spans="55:57" x14ac:dyDescent="0.25">
      <c r="BC369" s="25"/>
      <c r="BD369" s="25"/>
      <c r="BE369" s="25"/>
    </row>
    <row r="370" spans="55:57" x14ac:dyDescent="0.25">
      <c r="BC370" s="25"/>
      <c r="BD370" s="25"/>
      <c r="BE370" s="25"/>
    </row>
    <row r="371" spans="55:57" x14ac:dyDescent="0.25">
      <c r="BC371" s="25"/>
      <c r="BD371" s="25"/>
      <c r="BE371" s="25"/>
    </row>
    <row r="372" spans="55:57" x14ac:dyDescent="0.25">
      <c r="BC372" s="25"/>
      <c r="BD372" s="25"/>
      <c r="BE372" s="25"/>
    </row>
    <row r="373" spans="55:57" x14ac:dyDescent="0.25">
      <c r="BC373" s="25"/>
      <c r="BD373" s="25"/>
      <c r="BE373" s="25"/>
    </row>
    <row r="374" spans="55:57" x14ac:dyDescent="0.25">
      <c r="BC374" s="25"/>
      <c r="BD374" s="25"/>
      <c r="BE374" s="25"/>
    </row>
    <row r="375" spans="55:57" x14ac:dyDescent="0.25">
      <c r="BC375" s="25"/>
      <c r="BD375" s="25"/>
      <c r="BE375" s="25"/>
    </row>
    <row r="376" spans="55:57" x14ac:dyDescent="0.25">
      <c r="BC376" s="25"/>
      <c r="BD376" s="25"/>
      <c r="BE376" s="25"/>
    </row>
    <row r="377" spans="55:57" x14ac:dyDescent="0.25">
      <c r="BC377" s="25"/>
      <c r="BD377" s="25"/>
      <c r="BE377" s="25"/>
    </row>
    <row r="378" spans="55:57" x14ac:dyDescent="0.25">
      <c r="BC378" s="25"/>
      <c r="BD378" s="25"/>
      <c r="BE378" s="25"/>
    </row>
    <row r="379" spans="55:57" x14ac:dyDescent="0.25">
      <c r="BC379" s="25"/>
      <c r="BD379" s="25"/>
      <c r="BE379" s="25"/>
    </row>
    <row r="380" spans="55:57" x14ac:dyDescent="0.25">
      <c r="BC380" s="25"/>
      <c r="BD380" s="25"/>
      <c r="BE380" s="25"/>
    </row>
    <row r="381" spans="55:57" x14ac:dyDescent="0.25">
      <c r="BC381" s="25"/>
      <c r="BD381" s="25"/>
      <c r="BE381" s="25"/>
    </row>
    <row r="382" spans="55:57" x14ac:dyDescent="0.25">
      <c r="BC382" s="25"/>
      <c r="BD382" s="25"/>
      <c r="BE382" s="25"/>
    </row>
    <row r="383" spans="55:57" x14ac:dyDescent="0.25">
      <c r="BC383" s="25"/>
      <c r="BD383" s="25"/>
      <c r="BE383" s="25"/>
    </row>
    <row r="384" spans="55:57" x14ac:dyDescent="0.25">
      <c r="BC384" s="25"/>
      <c r="BD384" s="25"/>
      <c r="BE384" s="25"/>
    </row>
    <row r="385" spans="55:57" x14ac:dyDescent="0.25">
      <c r="BC385" s="25"/>
      <c r="BD385" s="25"/>
      <c r="BE385" s="25"/>
    </row>
    <row r="386" spans="55:57" x14ac:dyDescent="0.25">
      <c r="BC386" s="25"/>
      <c r="BD386" s="25"/>
      <c r="BE386" s="25"/>
    </row>
    <row r="387" spans="55:57" x14ac:dyDescent="0.25">
      <c r="BC387" s="25"/>
      <c r="BD387" s="25"/>
      <c r="BE387" s="25"/>
    </row>
    <row r="388" spans="55:57" x14ac:dyDescent="0.25">
      <c r="BC388" s="25"/>
      <c r="BD388" s="25"/>
      <c r="BE388" s="25"/>
    </row>
    <row r="389" spans="55:57" x14ac:dyDescent="0.25">
      <c r="BC389" s="25"/>
      <c r="BD389" s="25"/>
      <c r="BE389" s="25"/>
    </row>
    <row r="390" spans="55:57" x14ac:dyDescent="0.25">
      <c r="BC390" s="25"/>
      <c r="BD390" s="25"/>
      <c r="BE390" s="25"/>
    </row>
    <row r="391" spans="55:57" x14ac:dyDescent="0.25">
      <c r="BC391" s="25"/>
      <c r="BD391" s="25"/>
      <c r="BE391" s="25"/>
    </row>
    <row r="392" spans="55:57" x14ac:dyDescent="0.25">
      <c r="BC392" s="25"/>
      <c r="BD392" s="25"/>
      <c r="BE392" s="25"/>
    </row>
    <row r="393" spans="55:57" x14ac:dyDescent="0.25">
      <c r="BC393" s="25"/>
      <c r="BD393" s="25"/>
      <c r="BE393" s="25"/>
    </row>
    <row r="394" spans="55:57" x14ac:dyDescent="0.25">
      <c r="BC394" s="25"/>
      <c r="BD394" s="25"/>
      <c r="BE394" s="25"/>
    </row>
    <row r="395" spans="55:57" x14ac:dyDescent="0.25">
      <c r="BC395" s="25"/>
      <c r="BD395" s="25"/>
      <c r="BE395" s="25"/>
    </row>
    <row r="396" spans="55:57" x14ac:dyDescent="0.25">
      <c r="BC396" s="25"/>
      <c r="BD396" s="25"/>
      <c r="BE396" s="25"/>
    </row>
    <row r="397" spans="55:57" x14ac:dyDescent="0.25">
      <c r="BC397" s="25"/>
      <c r="BD397" s="25"/>
      <c r="BE397" s="25"/>
    </row>
    <row r="398" spans="55:57" x14ac:dyDescent="0.25">
      <c r="BC398" s="25"/>
      <c r="BD398" s="25"/>
      <c r="BE398" s="25"/>
    </row>
    <row r="399" spans="55:57" x14ac:dyDescent="0.25">
      <c r="BC399" s="25"/>
      <c r="BD399" s="25"/>
      <c r="BE399" s="25"/>
    </row>
    <row r="400" spans="55:57" x14ac:dyDescent="0.25">
      <c r="BC400" s="25"/>
      <c r="BD400" s="25"/>
      <c r="BE400" s="25"/>
    </row>
    <row r="401" spans="55:57" x14ac:dyDescent="0.25">
      <c r="BC401" s="25"/>
      <c r="BD401" s="25"/>
      <c r="BE401" s="25"/>
    </row>
    <row r="402" spans="55:57" x14ac:dyDescent="0.25">
      <c r="BC402" s="25"/>
      <c r="BD402" s="25"/>
      <c r="BE402" s="25"/>
    </row>
    <row r="403" spans="55:57" x14ac:dyDescent="0.25">
      <c r="BC403" s="25"/>
      <c r="BD403" s="25"/>
      <c r="BE403" s="25"/>
    </row>
    <row r="404" spans="55:57" x14ac:dyDescent="0.25">
      <c r="BC404" s="25"/>
      <c r="BD404" s="25"/>
      <c r="BE404" s="25"/>
    </row>
    <row r="405" spans="55:57" x14ac:dyDescent="0.25">
      <c r="BC405" s="25"/>
      <c r="BD405" s="25"/>
      <c r="BE405" s="25"/>
    </row>
    <row r="406" spans="55:57" x14ac:dyDescent="0.25">
      <c r="BC406" s="25"/>
      <c r="BD406" s="25"/>
      <c r="BE406" s="25"/>
    </row>
    <row r="407" spans="55:57" x14ac:dyDescent="0.25">
      <c r="BC407" s="25"/>
      <c r="BD407" s="25"/>
      <c r="BE407" s="25"/>
    </row>
    <row r="408" spans="55:57" x14ac:dyDescent="0.25">
      <c r="BC408" s="25"/>
      <c r="BD408" s="25"/>
      <c r="BE408" s="25"/>
    </row>
    <row r="409" spans="55:57" x14ac:dyDescent="0.25">
      <c r="BC409" s="25"/>
      <c r="BD409" s="25"/>
      <c r="BE409" s="25"/>
    </row>
    <row r="410" spans="55:57" x14ac:dyDescent="0.25">
      <c r="BC410" s="25"/>
      <c r="BD410" s="25"/>
      <c r="BE410" s="25"/>
    </row>
    <row r="411" spans="55:57" x14ac:dyDescent="0.25">
      <c r="BC411" s="25"/>
      <c r="BD411" s="25"/>
      <c r="BE411" s="25"/>
    </row>
    <row r="412" spans="55:57" x14ac:dyDescent="0.25">
      <c r="BC412" s="25"/>
      <c r="BD412" s="25"/>
      <c r="BE412" s="25"/>
    </row>
    <row r="413" spans="55:57" x14ac:dyDescent="0.25">
      <c r="BC413" s="25"/>
      <c r="BD413" s="25"/>
      <c r="BE413" s="25"/>
    </row>
    <row r="414" spans="55:57" x14ac:dyDescent="0.25">
      <c r="BC414" s="25"/>
      <c r="BD414" s="25"/>
      <c r="BE414" s="25"/>
    </row>
    <row r="415" spans="55:57" x14ac:dyDescent="0.25">
      <c r="BC415" s="25"/>
      <c r="BD415" s="25"/>
      <c r="BE415" s="25"/>
    </row>
    <row r="416" spans="55:57" x14ac:dyDescent="0.25">
      <c r="BC416" s="25"/>
      <c r="BD416" s="25"/>
      <c r="BE416" s="25"/>
    </row>
    <row r="417" spans="55:57" x14ac:dyDescent="0.25">
      <c r="BC417" s="25"/>
      <c r="BD417" s="25"/>
      <c r="BE417" s="25"/>
    </row>
    <row r="418" spans="55:57" x14ac:dyDescent="0.25">
      <c r="BC418" s="25"/>
      <c r="BD418" s="25"/>
      <c r="BE418" s="25"/>
    </row>
    <row r="419" spans="55:57" x14ac:dyDescent="0.25">
      <c r="BC419" s="25"/>
      <c r="BD419" s="25"/>
      <c r="BE419" s="25"/>
    </row>
    <row r="420" spans="55:57" x14ac:dyDescent="0.25">
      <c r="BC420" s="25"/>
      <c r="BD420" s="25"/>
      <c r="BE420" s="25"/>
    </row>
    <row r="421" spans="55:57" x14ac:dyDescent="0.25">
      <c r="BC421" s="25"/>
      <c r="BD421" s="25"/>
      <c r="BE421" s="25"/>
    </row>
    <row r="422" spans="55:57" x14ac:dyDescent="0.25">
      <c r="BC422" s="25"/>
      <c r="BD422" s="25"/>
      <c r="BE422" s="25"/>
    </row>
    <row r="423" spans="55:57" x14ac:dyDescent="0.25">
      <c r="BC423" s="25"/>
      <c r="BD423" s="25"/>
      <c r="BE423" s="25"/>
    </row>
    <row r="424" spans="55:57" x14ac:dyDescent="0.25">
      <c r="BC424" s="25"/>
      <c r="BD424" s="25"/>
      <c r="BE424" s="25"/>
    </row>
    <row r="425" spans="55:57" x14ac:dyDescent="0.25">
      <c r="BC425" s="25"/>
      <c r="BD425" s="25"/>
      <c r="BE425" s="25"/>
    </row>
    <row r="426" spans="55:57" x14ac:dyDescent="0.25">
      <c r="BC426" s="25"/>
      <c r="BD426" s="25"/>
      <c r="BE426" s="25"/>
    </row>
    <row r="427" spans="55:57" x14ac:dyDescent="0.25">
      <c r="BC427" s="25"/>
      <c r="BD427" s="25"/>
      <c r="BE427" s="25"/>
    </row>
    <row r="428" spans="55:57" x14ac:dyDescent="0.25">
      <c r="BC428" s="25"/>
      <c r="BD428" s="25"/>
      <c r="BE428" s="25"/>
    </row>
    <row r="429" spans="55:57" x14ac:dyDescent="0.25">
      <c r="BC429" s="25"/>
      <c r="BD429" s="25"/>
      <c r="BE429" s="25"/>
    </row>
    <row r="430" spans="55:57" x14ac:dyDescent="0.25">
      <c r="BC430" s="25"/>
      <c r="BD430" s="25"/>
      <c r="BE430" s="25"/>
    </row>
    <row r="431" spans="55:57" x14ac:dyDescent="0.25">
      <c r="BC431" s="25"/>
      <c r="BD431" s="25"/>
      <c r="BE431" s="25"/>
    </row>
    <row r="432" spans="55:57" x14ac:dyDescent="0.25">
      <c r="BC432" s="25"/>
      <c r="BD432" s="25"/>
      <c r="BE432" s="25"/>
    </row>
    <row r="433" spans="55:57" x14ac:dyDescent="0.25">
      <c r="BC433" s="25"/>
      <c r="BD433" s="25"/>
      <c r="BE433" s="25"/>
    </row>
    <row r="434" spans="55:57" x14ac:dyDescent="0.25">
      <c r="BC434" s="25"/>
      <c r="BD434" s="25"/>
      <c r="BE434" s="25"/>
    </row>
    <row r="435" spans="55:57" x14ac:dyDescent="0.25">
      <c r="BC435" s="25"/>
      <c r="BD435" s="25"/>
      <c r="BE435" s="25"/>
    </row>
    <row r="436" spans="55:57" x14ac:dyDescent="0.25">
      <c r="BC436" s="25"/>
      <c r="BD436" s="25"/>
      <c r="BE436" s="25"/>
    </row>
    <row r="437" spans="55:57" x14ac:dyDescent="0.25">
      <c r="BC437" s="25"/>
      <c r="BD437" s="25"/>
      <c r="BE437" s="25"/>
    </row>
    <row r="438" spans="55:57" x14ac:dyDescent="0.25">
      <c r="BC438" s="25"/>
      <c r="BD438" s="25"/>
      <c r="BE438" s="25"/>
    </row>
    <row r="439" spans="55:57" x14ac:dyDescent="0.25">
      <c r="BC439" s="25"/>
      <c r="BD439" s="25"/>
      <c r="BE439" s="25"/>
    </row>
    <row r="440" spans="55:57" x14ac:dyDescent="0.25">
      <c r="BC440" s="25"/>
      <c r="BD440" s="25"/>
      <c r="BE440" s="25"/>
    </row>
    <row r="441" spans="55:57" x14ac:dyDescent="0.25">
      <c r="BC441" s="25"/>
      <c r="BD441" s="25"/>
      <c r="BE441" s="25"/>
    </row>
    <row r="442" spans="55:57" x14ac:dyDescent="0.25">
      <c r="BC442" s="25"/>
      <c r="BD442" s="25"/>
      <c r="BE442" s="25"/>
    </row>
    <row r="443" spans="55:57" x14ac:dyDescent="0.25">
      <c r="BC443" s="25"/>
      <c r="BD443" s="25"/>
      <c r="BE443" s="25"/>
    </row>
    <row r="444" spans="55:57" x14ac:dyDescent="0.25">
      <c r="BC444" s="25"/>
      <c r="BD444" s="25"/>
      <c r="BE444" s="25"/>
    </row>
    <row r="445" spans="55:57" x14ac:dyDescent="0.25">
      <c r="BC445" s="25"/>
      <c r="BD445" s="25"/>
      <c r="BE445" s="25"/>
    </row>
    <row r="446" spans="55:57" x14ac:dyDescent="0.25">
      <c r="BC446" s="25"/>
      <c r="BD446" s="25"/>
      <c r="BE446" s="25"/>
    </row>
    <row r="447" spans="55:57" x14ac:dyDescent="0.25">
      <c r="BC447" s="25"/>
      <c r="BD447" s="25"/>
      <c r="BE447" s="25"/>
    </row>
    <row r="448" spans="55:57" x14ac:dyDescent="0.25">
      <c r="BC448" s="25"/>
      <c r="BD448" s="25"/>
      <c r="BE448" s="25"/>
    </row>
    <row r="449" spans="55:57" x14ac:dyDescent="0.25">
      <c r="BC449" s="25"/>
      <c r="BD449" s="25"/>
      <c r="BE449" s="25"/>
    </row>
    <row r="450" spans="55:57" x14ac:dyDescent="0.25">
      <c r="BC450" s="25"/>
      <c r="BD450" s="25"/>
      <c r="BE450" s="25"/>
    </row>
    <row r="451" spans="55:57" x14ac:dyDescent="0.25">
      <c r="BC451" s="25"/>
      <c r="BD451" s="25"/>
      <c r="BE451" s="25"/>
    </row>
    <row r="452" spans="55:57" x14ac:dyDescent="0.25">
      <c r="BC452" s="25"/>
      <c r="BD452" s="25"/>
      <c r="BE452" s="25"/>
    </row>
    <row r="453" spans="55:57" x14ac:dyDescent="0.25">
      <c r="BC453" s="25"/>
      <c r="BD453" s="25"/>
      <c r="BE453" s="25"/>
    </row>
    <row r="454" spans="55:57" x14ac:dyDescent="0.25">
      <c r="BC454" s="25"/>
      <c r="BD454" s="25"/>
      <c r="BE454" s="25"/>
    </row>
    <row r="455" spans="55:57" x14ac:dyDescent="0.25">
      <c r="BC455" s="25"/>
      <c r="BD455" s="25"/>
      <c r="BE455" s="25"/>
    </row>
    <row r="456" spans="55:57" x14ac:dyDescent="0.25">
      <c r="BC456" s="25"/>
      <c r="BD456" s="25"/>
      <c r="BE456" s="25"/>
    </row>
    <row r="457" spans="55:57" x14ac:dyDescent="0.25">
      <c r="BC457" s="25"/>
      <c r="BD457" s="25"/>
      <c r="BE457" s="25"/>
    </row>
    <row r="458" spans="55:57" x14ac:dyDescent="0.25">
      <c r="BC458" s="25"/>
      <c r="BD458" s="25"/>
      <c r="BE458" s="25"/>
    </row>
    <row r="459" spans="55:57" x14ac:dyDescent="0.25">
      <c r="BC459" s="25"/>
      <c r="BD459" s="25"/>
      <c r="BE459" s="25"/>
    </row>
    <row r="460" spans="55:57" x14ac:dyDescent="0.25">
      <c r="BC460" s="25"/>
      <c r="BD460" s="25"/>
      <c r="BE460" s="25"/>
    </row>
    <row r="461" spans="55:57" x14ac:dyDescent="0.25">
      <c r="BC461" s="25"/>
      <c r="BD461" s="25"/>
      <c r="BE461" s="25"/>
    </row>
    <row r="462" spans="55:57" x14ac:dyDescent="0.25">
      <c r="BC462" s="25"/>
      <c r="BD462" s="25"/>
      <c r="BE462" s="25"/>
    </row>
    <row r="463" spans="55:57" x14ac:dyDescent="0.25">
      <c r="BC463" s="25"/>
      <c r="BD463" s="25"/>
      <c r="BE463" s="25"/>
    </row>
    <row r="464" spans="55:57" x14ac:dyDescent="0.25">
      <c r="BC464" s="25"/>
      <c r="BD464" s="25"/>
      <c r="BE464" s="25"/>
    </row>
    <row r="465" spans="55:57" x14ac:dyDescent="0.25">
      <c r="BC465" s="25"/>
      <c r="BD465" s="25"/>
      <c r="BE465" s="25"/>
    </row>
    <row r="466" spans="55:57" x14ac:dyDescent="0.25">
      <c r="BC466" s="25"/>
      <c r="BD466" s="25"/>
      <c r="BE466" s="25"/>
    </row>
    <row r="467" spans="55:57" x14ac:dyDescent="0.25">
      <c r="BC467" s="25"/>
      <c r="BD467" s="25"/>
      <c r="BE467" s="25"/>
    </row>
    <row r="468" spans="55:57" x14ac:dyDescent="0.25">
      <c r="BC468" s="25"/>
      <c r="BD468" s="25"/>
      <c r="BE468" s="25"/>
    </row>
    <row r="469" spans="55:57" x14ac:dyDescent="0.25">
      <c r="BC469" s="25"/>
      <c r="BD469" s="25"/>
      <c r="BE469" s="25"/>
    </row>
    <row r="470" spans="55:57" x14ac:dyDescent="0.25">
      <c r="BC470" s="25"/>
      <c r="BD470" s="25"/>
      <c r="BE470" s="25"/>
    </row>
    <row r="471" spans="55:57" x14ac:dyDescent="0.25">
      <c r="BC471" s="25"/>
      <c r="BD471" s="25"/>
      <c r="BE471" s="25"/>
    </row>
    <row r="472" spans="55:57" x14ac:dyDescent="0.25">
      <c r="BC472" s="25"/>
      <c r="BD472" s="25"/>
      <c r="BE472" s="25"/>
    </row>
    <row r="473" spans="55:57" x14ac:dyDescent="0.25">
      <c r="BC473" s="25"/>
      <c r="BD473" s="25"/>
      <c r="BE473" s="25"/>
    </row>
    <row r="474" spans="55:57" x14ac:dyDescent="0.25">
      <c r="BC474" s="25"/>
      <c r="BD474" s="25"/>
      <c r="BE474" s="25"/>
    </row>
    <row r="475" spans="55:57" x14ac:dyDescent="0.25">
      <c r="BC475" s="25"/>
      <c r="BD475" s="25"/>
      <c r="BE475" s="25"/>
    </row>
    <row r="476" spans="55:57" x14ac:dyDescent="0.25">
      <c r="BC476" s="25"/>
      <c r="BD476" s="25"/>
      <c r="BE476" s="25"/>
    </row>
    <row r="477" spans="55:57" x14ac:dyDescent="0.25">
      <c r="BC477" s="25"/>
      <c r="BD477" s="25"/>
      <c r="BE477" s="25"/>
    </row>
    <row r="478" spans="55:57" x14ac:dyDescent="0.25">
      <c r="BC478" s="25"/>
      <c r="BD478" s="25"/>
      <c r="BE478" s="25"/>
    </row>
    <row r="479" spans="55:57" x14ac:dyDescent="0.25">
      <c r="BC479" s="25"/>
      <c r="BD479" s="25"/>
      <c r="BE479" s="25"/>
    </row>
    <row r="480" spans="55:57" x14ac:dyDescent="0.25">
      <c r="BC480" s="25"/>
      <c r="BD480" s="25"/>
      <c r="BE480" s="25"/>
    </row>
    <row r="481" spans="55:57" x14ac:dyDescent="0.25">
      <c r="BC481" s="25"/>
      <c r="BD481" s="25"/>
      <c r="BE481" s="25"/>
    </row>
    <row r="482" spans="55:57" x14ac:dyDescent="0.25">
      <c r="BC482" s="25"/>
      <c r="BD482" s="25"/>
      <c r="BE482" s="25"/>
    </row>
    <row r="483" spans="55:57" x14ac:dyDescent="0.25">
      <c r="BC483" s="25"/>
      <c r="BD483" s="25"/>
      <c r="BE483" s="25"/>
    </row>
    <row r="484" spans="55:57" x14ac:dyDescent="0.25">
      <c r="BC484" s="25"/>
      <c r="BD484" s="25"/>
      <c r="BE484" s="25"/>
    </row>
    <row r="485" spans="55:57" x14ac:dyDescent="0.25">
      <c r="BC485" s="25"/>
      <c r="BD485" s="25"/>
      <c r="BE485" s="25"/>
    </row>
    <row r="486" spans="55:57" x14ac:dyDescent="0.25">
      <c r="BC486" s="25"/>
      <c r="BD486" s="25"/>
      <c r="BE486" s="25"/>
    </row>
    <row r="487" spans="55:57" x14ac:dyDescent="0.25">
      <c r="BC487" s="25"/>
      <c r="BD487" s="25"/>
      <c r="BE487" s="25"/>
    </row>
    <row r="488" spans="55:57" x14ac:dyDescent="0.25">
      <c r="BC488" s="25"/>
      <c r="BD488" s="25"/>
      <c r="BE488" s="25"/>
    </row>
    <row r="489" spans="55:57" x14ac:dyDescent="0.25">
      <c r="BC489" s="25"/>
      <c r="BD489" s="25"/>
      <c r="BE489" s="25"/>
    </row>
    <row r="490" spans="55:57" x14ac:dyDescent="0.25">
      <c r="BC490" s="25"/>
      <c r="BD490" s="25"/>
      <c r="BE490" s="25"/>
    </row>
    <row r="491" spans="55:57" x14ac:dyDescent="0.25">
      <c r="BC491" s="25"/>
      <c r="BD491" s="25"/>
      <c r="BE491" s="25"/>
    </row>
    <row r="492" spans="55:57" x14ac:dyDescent="0.25">
      <c r="BC492" s="25"/>
      <c r="BD492" s="25"/>
      <c r="BE492" s="25"/>
    </row>
    <row r="493" spans="55:57" x14ac:dyDescent="0.25">
      <c r="BC493" s="25"/>
      <c r="BD493" s="25"/>
      <c r="BE493" s="25"/>
    </row>
    <row r="494" spans="55:57" x14ac:dyDescent="0.25">
      <c r="BC494" s="25"/>
      <c r="BD494" s="25"/>
      <c r="BE494" s="25"/>
    </row>
    <row r="495" spans="55:57" x14ac:dyDescent="0.25">
      <c r="BC495" s="25"/>
      <c r="BD495" s="25"/>
      <c r="BE495" s="25"/>
    </row>
    <row r="496" spans="55:57" x14ac:dyDescent="0.25">
      <c r="BC496" s="25"/>
      <c r="BD496" s="25"/>
      <c r="BE496" s="25"/>
    </row>
    <row r="497" spans="55:57" x14ac:dyDescent="0.25">
      <c r="BC497" s="25"/>
      <c r="BD497" s="25"/>
      <c r="BE497" s="25"/>
    </row>
    <row r="498" spans="55:57" x14ac:dyDescent="0.25">
      <c r="BC498" s="25"/>
      <c r="BD498" s="25"/>
      <c r="BE498" s="25"/>
    </row>
    <row r="499" spans="55:57" x14ac:dyDescent="0.25">
      <c r="BC499" s="25"/>
      <c r="BD499" s="25"/>
      <c r="BE499" s="25"/>
    </row>
    <row r="500" spans="55:57" x14ac:dyDescent="0.25">
      <c r="BC500" s="25"/>
      <c r="BD500" s="25"/>
      <c r="BE500" s="25"/>
    </row>
    <row r="501" spans="55:57" x14ac:dyDescent="0.25">
      <c r="BC501" s="25"/>
      <c r="BD501" s="25"/>
      <c r="BE501" s="25"/>
    </row>
    <row r="502" spans="55:57" x14ac:dyDescent="0.25">
      <c r="BC502" s="25"/>
      <c r="BD502" s="25"/>
      <c r="BE502" s="25"/>
    </row>
    <row r="503" spans="55:57" x14ac:dyDescent="0.25">
      <c r="BC503" s="25"/>
      <c r="BD503" s="25"/>
      <c r="BE503" s="25"/>
    </row>
    <row r="504" spans="55:57" x14ac:dyDescent="0.25">
      <c r="BC504" s="25"/>
      <c r="BD504" s="25"/>
      <c r="BE504" s="25"/>
    </row>
    <row r="505" spans="55:57" x14ac:dyDescent="0.25">
      <c r="BC505" s="25"/>
      <c r="BD505" s="25"/>
      <c r="BE505" s="25"/>
    </row>
    <row r="506" spans="55:57" x14ac:dyDescent="0.25">
      <c r="BC506" s="25"/>
      <c r="BD506" s="25"/>
      <c r="BE506" s="25"/>
    </row>
    <row r="507" spans="55:57" x14ac:dyDescent="0.25">
      <c r="BC507" s="25"/>
      <c r="BD507" s="25"/>
      <c r="BE507" s="25"/>
    </row>
    <row r="508" spans="55:57" x14ac:dyDescent="0.25">
      <c r="BC508" s="25"/>
      <c r="BD508" s="25"/>
      <c r="BE508" s="25"/>
    </row>
    <row r="509" spans="55:57" x14ac:dyDescent="0.25">
      <c r="BC509" s="25"/>
      <c r="BD509" s="25"/>
      <c r="BE509" s="25"/>
    </row>
    <row r="510" spans="55:57" x14ac:dyDescent="0.25">
      <c r="BC510" s="25"/>
      <c r="BD510" s="25"/>
      <c r="BE510" s="25"/>
    </row>
    <row r="511" spans="55:57" x14ac:dyDescent="0.25">
      <c r="BC511" s="25"/>
      <c r="BD511" s="25"/>
      <c r="BE511" s="25"/>
    </row>
    <row r="512" spans="55:57" x14ac:dyDescent="0.25">
      <c r="BC512" s="25"/>
      <c r="BD512" s="25"/>
      <c r="BE512" s="25"/>
    </row>
    <row r="513" spans="55:57" x14ac:dyDescent="0.25">
      <c r="BC513" s="25"/>
      <c r="BD513" s="25"/>
      <c r="BE513" s="25"/>
    </row>
    <row r="514" spans="55:57" x14ac:dyDescent="0.25">
      <c r="BC514" s="25"/>
      <c r="BD514" s="25"/>
      <c r="BE514" s="25"/>
    </row>
    <row r="515" spans="55:57" x14ac:dyDescent="0.25">
      <c r="BC515" s="25"/>
      <c r="BD515" s="25"/>
      <c r="BE515" s="25"/>
    </row>
    <row r="516" spans="55:57" x14ac:dyDescent="0.25">
      <c r="BC516" s="25"/>
      <c r="BD516" s="25"/>
      <c r="BE516" s="25"/>
    </row>
    <row r="517" spans="55:57" x14ac:dyDescent="0.25">
      <c r="BC517" s="25"/>
      <c r="BD517" s="25"/>
      <c r="BE517" s="25"/>
    </row>
    <row r="518" spans="55:57" x14ac:dyDescent="0.25">
      <c r="BC518" s="25"/>
      <c r="BD518" s="25"/>
      <c r="BE518" s="25"/>
    </row>
    <row r="519" spans="55:57" x14ac:dyDescent="0.25">
      <c r="BC519" s="25"/>
      <c r="BD519" s="25"/>
      <c r="BE519" s="25"/>
    </row>
    <row r="520" spans="55:57" x14ac:dyDescent="0.25">
      <c r="BC520" s="25"/>
      <c r="BD520" s="25"/>
      <c r="BE520" s="25"/>
    </row>
    <row r="521" spans="55:57" x14ac:dyDescent="0.25">
      <c r="BC521" s="25"/>
      <c r="BD521" s="25"/>
      <c r="BE521" s="25"/>
    </row>
    <row r="522" spans="55:57" x14ac:dyDescent="0.25">
      <c r="BC522" s="25"/>
      <c r="BD522" s="25"/>
      <c r="BE522" s="25"/>
    </row>
    <row r="523" spans="55:57" x14ac:dyDescent="0.25">
      <c r="BC523" s="25"/>
      <c r="BD523" s="25"/>
      <c r="BE523" s="25"/>
    </row>
    <row r="524" spans="55:57" x14ac:dyDescent="0.25">
      <c r="BC524" s="25"/>
      <c r="BD524" s="25"/>
      <c r="BE524" s="25"/>
    </row>
    <row r="525" spans="55:57" x14ac:dyDescent="0.25">
      <c r="BC525" s="25"/>
      <c r="BD525" s="25"/>
      <c r="BE525" s="25"/>
    </row>
    <row r="526" spans="55:57" x14ac:dyDescent="0.25">
      <c r="BC526" s="25"/>
      <c r="BD526" s="25"/>
      <c r="BE526" s="25"/>
    </row>
    <row r="527" spans="55:57" x14ac:dyDescent="0.25">
      <c r="BC527" s="25"/>
      <c r="BD527" s="25"/>
      <c r="BE527" s="25"/>
    </row>
    <row r="528" spans="55:57" x14ac:dyDescent="0.25">
      <c r="BC528" s="25"/>
      <c r="BD528" s="25"/>
      <c r="BE528" s="25"/>
    </row>
    <row r="529" spans="55:57" x14ac:dyDescent="0.25">
      <c r="BC529" s="25"/>
      <c r="BD529" s="25"/>
      <c r="BE529" s="25"/>
    </row>
    <row r="530" spans="55:57" x14ac:dyDescent="0.25">
      <c r="BC530" s="25"/>
      <c r="BD530" s="25"/>
      <c r="BE530" s="25"/>
    </row>
    <row r="531" spans="55:57" x14ac:dyDescent="0.25">
      <c r="BC531" s="25"/>
      <c r="BD531" s="25"/>
      <c r="BE531" s="25"/>
    </row>
    <row r="532" spans="55:57" x14ac:dyDescent="0.25">
      <c r="BC532" s="25"/>
      <c r="BD532" s="25"/>
      <c r="BE532" s="25"/>
    </row>
    <row r="533" spans="55:57" x14ac:dyDescent="0.25">
      <c r="BC533" s="25"/>
      <c r="BD533" s="25"/>
      <c r="BE533" s="25"/>
    </row>
    <row r="534" spans="55:57" x14ac:dyDescent="0.25">
      <c r="BC534" s="25"/>
      <c r="BD534" s="25"/>
      <c r="BE534" s="25"/>
    </row>
    <row r="535" spans="55:57" x14ac:dyDescent="0.25">
      <c r="BC535" s="25"/>
      <c r="BD535" s="25"/>
      <c r="BE535" s="25"/>
    </row>
    <row r="536" spans="55:57" x14ac:dyDescent="0.25">
      <c r="BC536" s="25"/>
      <c r="BD536" s="25"/>
      <c r="BE536" s="25"/>
    </row>
    <row r="537" spans="55:57" x14ac:dyDescent="0.25">
      <c r="BC537" s="25"/>
      <c r="BD537" s="25"/>
      <c r="BE537" s="25"/>
    </row>
    <row r="538" spans="55:57" x14ac:dyDescent="0.25">
      <c r="BC538" s="25"/>
      <c r="BD538" s="25"/>
      <c r="BE538" s="25"/>
    </row>
    <row r="539" spans="55:57" x14ac:dyDescent="0.25">
      <c r="BC539" s="25"/>
      <c r="BD539" s="25"/>
      <c r="BE539" s="25"/>
    </row>
    <row r="540" spans="55:57" x14ac:dyDescent="0.25">
      <c r="BC540" s="25"/>
      <c r="BD540" s="25"/>
      <c r="BE540" s="25"/>
    </row>
    <row r="541" spans="55:57" x14ac:dyDescent="0.25">
      <c r="BC541" s="25"/>
      <c r="BD541" s="25"/>
      <c r="BE541" s="25"/>
    </row>
    <row r="542" spans="55:57" x14ac:dyDescent="0.25">
      <c r="BC542" s="25"/>
      <c r="BD542" s="25"/>
      <c r="BE542" s="25"/>
    </row>
    <row r="543" spans="55:57" x14ac:dyDescent="0.25">
      <c r="BC543" s="25"/>
      <c r="BD543" s="25"/>
      <c r="BE543" s="25"/>
    </row>
    <row r="544" spans="55:57" x14ac:dyDescent="0.25">
      <c r="BC544" s="25"/>
      <c r="BD544" s="25"/>
      <c r="BE544" s="25"/>
    </row>
    <row r="545" spans="55:57" x14ac:dyDescent="0.25">
      <c r="BC545" s="25"/>
      <c r="BD545" s="25"/>
      <c r="BE545" s="25"/>
    </row>
    <row r="546" spans="55:57" x14ac:dyDescent="0.25">
      <c r="BC546" s="25"/>
      <c r="BD546" s="25"/>
      <c r="BE546" s="25"/>
    </row>
    <row r="547" spans="55:57" x14ac:dyDescent="0.25">
      <c r="BC547" s="25"/>
      <c r="BD547" s="25"/>
      <c r="BE547" s="25"/>
    </row>
    <row r="548" spans="55:57" x14ac:dyDescent="0.25">
      <c r="BC548" s="25"/>
      <c r="BD548" s="25"/>
      <c r="BE548" s="25"/>
    </row>
    <row r="549" spans="55:57" x14ac:dyDescent="0.25">
      <c r="BC549" s="25"/>
      <c r="BD549" s="25"/>
      <c r="BE549" s="25"/>
    </row>
    <row r="550" spans="55:57" x14ac:dyDescent="0.25">
      <c r="BC550" s="25"/>
      <c r="BD550" s="25"/>
      <c r="BE550" s="25"/>
    </row>
    <row r="551" spans="55:57" x14ac:dyDescent="0.25">
      <c r="BC551" s="25"/>
      <c r="BD551" s="25"/>
      <c r="BE551" s="25"/>
    </row>
    <row r="552" spans="55:57" x14ac:dyDescent="0.25">
      <c r="BC552" s="25"/>
      <c r="BD552" s="25"/>
      <c r="BE552" s="25"/>
    </row>
    <row r="553" spans="55:57" x14ac:dyDescent="0.25">
      <c r="BC553" s="25"/>
      <c r="BD553" s="25"/>
      <c r="BE553" s="25"/>
    </row>
    <row r="554" spans="55:57" x14ac:dyDescent="0.25">
      <c r="BC554" s="25"/>
      <c r="BD554" s="25"/>
      <c r="BE554" s="25"/>
    </row>
    <row r="555" spans="55:57" x14ac:dyDescent="0.25">
      <c r="BC555" s="25"/>
      <c r="BD555" s="25"/>
      <c r="BE555" s="25"/>
    </row>
    <row r="556" spans="55:57" x14ac:dyDescent="0.25">
      <c r="BC556" s="25"/>
      <c r="BD556" s="25"/>
      <c r="BE556" s="25"/>
    </row>
    <row r="557" spans="55:57" x14ac:dyDescent="0.25">
      <c r="BC557" s="25"/>
      <c r="BD557" s="25"/>
      <c r="BE557" s="25"/>
    </row>
    <row r="558" spans="55:57" x14ac:dyDescent="0.25">
      <c r="BC558" s="25"/>
      <c r="BD558" s="25"/>
      <c r="BE558" s="25"/>
    </row>
    <row r="559" spans="55:57" x14ac:dyDescent="0.25">
      <c r="BC559" s="25"/>
      <c r="BD559" s="25"/>
      <c r="BE559" s="25"/>
    </row>
    <row r="560" spans="55:57" x14ac:dyDescent="0.25">
      <c r="BC560" s="25"/>
      <c r="BD560" s="25"/>
      <c r="BE560" s="25"/>
    </row>
    <row r="561" spans="55:57" x14ac:dyDescent="0.25">
      <c r="BC561" s="25"/>
      <c r="BD561" s="25"/>
      <c r="BE561" s="25"/>
    </row>
    <row r="562" spans="55:57" x14ac:dyDescent="0.25">
      <c r="BC562" s="25"/>
      <c r="BD562" s="25"/>
      <c r="BE562" s="25"/>
    </row>
    <row r="563" spans="55:57" x14ac:dyDescent="0.25">
      <c r="BC563" s="25"/>
      <c r="BD563" s="25"/>
      <c r="BE563" s="25"/>
    </row>
    <row r="564" spans="55:57" x14ac:dyDescent="0.25">
      <c r="BC564" s="25"/>
      <c r="BD564" s="25"/>
      <c r="BE564" s="25"/>
    </row>
    <row r="565" spans="55:57" x14ac:dyDescent="0.25">
      <c r="BC565" s="25"/>
      <c r="BD565" s="25"/>
      <c r="BE565" s="25"/>
    </row>
    <row r="566" spans="55:57" x14ac:dyDescent="0.25">
      <c r="BC566" s="25"/>
      <c r="BD566" s="25"/>
      <c r="BE566" s="25"/>
    </row>
    <row r="567" spans="55:57" x14ac:dyDescent="0.25">
      <c r="BC567" s="25"/>
      <c r="BD567" s="25"/>
      <c r="BE567" s="25"/>
    </row>
    <row r="568" spans="55:57" x14ac:dyDescent="0.25">
      <c r="BC568" s="25"/>
      <c r="BD568" s="25"/>
      <c r="BE568" s="25"/>
    </row>
    <row r="569" spans="55:57" x14ac:dyDescent="0.25">
      <c r="BC569" s="25"/>
      <c r="BD569" s="25"/>
      <c r="BE569" s="25"/>
    </row>
    <row r="570" spans="55:57" x14ac:dyDescent="0.25">
      <c r="BC570" s="25"/>
      <c r="BD570" s="25"/>
      <c r="BE570" s="25"/>
    </row>
    <row r="571" spans="55:57" x14ac:dyDescent="0.25">
      <c r="BC571" s="25"/>
      <c r="BD571" s="25"/>
      <c r="BE571" s="25"/>
    </row>
    <row r="572" spans="55:57" x14ac:dyDescent="0.25">
      <c r="BC572" s="25"/>
      <c r="BD572" s="25"/>
      <c r="BE572" s="25"/>
    </row>
    <row r="573" spans="55:57" x14ac:dyDescent="0.25">
      <c r="BC573" s="25"/>
      <c r="BD573" s="25"/>
      <c r="BE573" s="25"/>
    </row>
    <row r="574" spans="55:57" x14ac:dyDescent="0.25">
      <c r="BC574" s="25"/>
      <c r="BD574" s="25"/>
      <c r="BE574" s="25"/>
    </row>
    <row r="575" spans="55:57" x14ac:dyDescent="0.25">
      <c r="BC575" s="25"/>
      <c r="BD575" s="25"/>
      <c r="BE575" s="25"/>
    </row>
    <row r="576" spans="55:57" x14ac:dyDescent="0.25">
      <c r="BC576" s="25"/>
      <c r="BD576" s="25"/>
      <c r="BE576" s="25"/>
    </row>
    <row r="577" spans="55:57" x14ac:dyDescent="0.25">
      <c r="BC577" s="25"/>
      <c r="BD577" s="25"/>
      <c r="BE577" s="25"/>
    </row>
    <row r="578" spans="55:57" x14ac:dyDescent="0.25">
      <c r="BC578" s="25"/>
      <c r="BD578" s="25"/>
      <c r="BE578" s="25"/>
    </row>
    <row r="579" spans="55:57" x14ac:dyDescent="0.25">
      <c r="BC579" s="25"/>
      <c r="BD579" s="25"/>
      <c r="BE579" s="25"/>
    </row>
    <row r="580" spans="55:57" x14ac:dyDescent="0.25">
      <c r="BC580" s="25"/>
      <c r="BD580" s="25"/>
      <c r="BE580" s="25"/>
    </row>
    <row r="581" spans="55:57" x14ac:dyDescent="0.25">
      <c r="BC581" s="25"/>
      <c r="BD581" s="25"/>
      <c r="BE581" s="25"/>
    </row>
    <row r="582" spans="55:57" x14ac:dyDescent="0.25">
      <c r="BC582" s="25"/>
      <c r="BD582" s="25"/>
      <c r="BE582" s="25"/>
    </row>
    <row r="583" spans="55:57" x14ac:dyDescent="0.25">
      <c r="BC583" s="25"/>
      <c r="BD583" s="25"/>
      <c r="BE583" s="25"/>
    </row>
    <row r="584" spans="55:57" x14ac:dyDescent="0.25">
      <c r="BC584" s="25"/>
      <c r="BD584" s="25"/>
      <c r="BE584" s="25"/>
    </row>
    <row r="585" spans="55:57" x14ac:dyDescent="0.25">
      <c r="BC585" s="25"/>
      <c r="BD585" s="25"/>
      <c r="BE585" s="25"/>
    </row>
    <row r="586" spans="55:57" x14ac:dyDescent="0.25">
      <c r="BC586" s="25"/>
      <c r="BD586" s="25"/>
      <c r="BE586" s="25"/>
    </row>
    <row r="587" spans="55:57" x14ac:dyDescent="0.25">
      <c r="BC587" s="25"/>
      <c r="BD587" s="25"/>
      <c r="BE587" s="25"/>
    </row>
    <row r="588" spans="55:57" x14ac:dyDescent="0.25">
      <c r="BC588" s="25"/>
      <c r="BD588" s="25"/>
      <c r="BE588" s="25"/>
    </row>
    <row r="589" spans="55:57" x14ac:dyDescent="0.25">
      <c r="BC589" s="25"/>
      <c r="BD589" s="25"/>
      <c r="BE589" s="25"/>
    </row>
    <row r="590" spans="55:57" x14ac:dyDescent="0.25">
      <c r="BC590" s="25"/>
      <c r="BD590" s="25"/>
      <c r="BE590" s="25"/>
    </row>
    <row r="591" spans="55:57" x14ac:dyDescent="0.25">
      <c r="BC591" s="25"/>
      <c r="BD591" s="25"/>
      <c r="BE591" s="25"/>
    </row>
    <row r="592" spans="55:57" x14ac:dyDescent="0.25">
      <c r="BC592" s="25"/>
      <c r="BD592" s="25"/>
      <c r="BE592" s="25"/>
    </row>
    <row r="593" spans="55:57" x14ac:dyDescent="0.25">
      <c r="BC593" s="25"/>
      <c r="BD593" s="25"/>
      <c r="BE593" s="25"/>
    </row>
    <row r="594" spans="55:57" x14ac:dyDescent="0.25">
      <c r="BC594" s="25"/>
      <c r="BD594" s="25"/>
      <c r="BE594" s="25"/>
    </row>
    <row r="595" spans="55:57" x14ac:dyDescent="0.25">
      <c r="BC595" s="25"/>
      <c r="BD595" s="25"/>
      <c r="BE595" s="25"/>
    </row>
    <row r="596" spans="55:57" x14ac:dyDescent="0.25">
      <c r="BC596" s="25"/>
      <c r="BD596" s="25"/>
      <c r="BE596" s="25"/>
    </row>
    <row r="597" spans="55:57" x14ac:dyDescent="0.25">
      <c r="BC597" s="25"/>
      <c r="BD597" s="25"/>
      <c r="BE597" s="25"/>
    </row>
    <row r="598" spans="55:57" x14ac:dyDescent="0.25">
      <c r="BC598" s="25"/>
      <c r="BD598" s="25"/>
      <c r="BE598" s="25"/>
    </row>
    <row r="599" spans="55:57" x14ac:dyDescent="0.25">
      <c r="BC599" s="25"/>
      <c r="BD599" s="25"/>
      <c r="BE599" s="25"/>
    </row>
    <row r="600" spans="55:57" x14ac:dyDescent="0.25">
      <c r="BC600" s="25"/>
      <c r="BD600" s="25"/>
      <c r="BE600" s="25"/>
    </row>
    <row r="601" spans="55:57" x14ac:dyDescent="0.25">
      <c r="BC601" s="25"/>
      <c r="BD601" s="25"/>
      <c r="BE601" s="25"/>
    </row>
    <row r="602" spans="55:57" x14ac:dyDescent="0.25">
      <c r="BC602" s="25"/>
      <c r="BD602" s="25"/>
      <c r="BE602" s="25"/>
    </row>
    <row r="603" spans="55:57" x14ac:dyDescent="0.25">
      <c r="BC603" s="25"/>
      <c r="BD603" s="25"/>
      <c r="BE603" s="25"/>
    </row>
    <row r="604" spans="55:57" x14ac:dyDescent="0.25">
      <c r="BC604" s="25"/>
      <c r="BD604" s="25"/>
      <c r="BE604" s="25"/>
    </row>
    <row r="605" spans="55:57" x14ac:dyDescent="0.25">
      <c r="BC605" s="25"/>
      <c r="BD605" s="25"/>
      <c r="BE605" s="25"/>
    </row>
    <row r="606" spans="55:57" x14ac:dyDescent="0.25">
      <c r="BC606" s="25"/>
      <c r="BD606" s="25"/>
      <c r="BE606" s="25"/>
    </row>
    <row r="607" spans="55:57" x14ac:dyDescent="0.25">
      <c r="BC607" s="25"/>
      <c r="BD607" s="25"/>
      <c r="BE607" s="25"/>
    </row>
    <row r="608" spans="55:57" x14ac:dyDescent="0.25">
      <c r="BC608" s="25"/>
      <c r="BD608" s="25"/>
      <c r="BE608" s="25"/>
    </row>
    <row r="609" spans="55:57" x14ac:dyDescent="0.25">
      <c r="BC609" s="25"/>
      <c r="BD609" s="25"/>
      <c r="BE609" s="25"/>
    </row>
    <row r="610" spans="55:57" x14ac:dyDescent="0.25">
      <c r="BC610" s="25"/>
      <c r="BD610" s="25"/>
      <c r="BE610" s="25"/>
    </row>
    <row r="611" spans="55:57" x14ac:dyDescent="0.25">
      <c r="BC611" s="25"/>
      <c r="BD611" s="25"/>
      <c r="BE611" s="25"/>
    </row>
    <row r="612" spans="55:57" x14ac:dyDescent="0.25">
      <c r="BC612" s="25"/>
      <c r="BD612" s="25"/>
      <c r="BE612" s="25"/>
    </row>
    <row r="613" spans="55:57" x14ac:dyDescent="0.25">
      <c r="BC613" s="25"/>
      <c r="BD613" s="25"/>
      <c r="BE613" s="25"/>
    </row>
    <row r="614" spans="55:57" x14ac:dyDescent="0.25">
      <c r="BC614" s="25"/>
      <c r="BD614" s="25"/>
      <c r="BE614" s="25"/>
    </row>
    <row r="615" spans="55:57" x14ac:dyDescent="0.25">
      <c r="BC615" s="25"/>
      <c r="BD615" s="25"/>
      <c r="BE615" s="25"/>
    </row>
    <row r="616" spans="55:57" x14ac:dyDescent="0.25">
      <c r="BC616" s="25"/>
      <c r="BD616" s="25"/>
      <c r="BE616" s="25"/>
    </row>
    <row r="617" spans="55:57" x14ac:dyDescent="0.25">
      <c r="BC617" s="25"/>
      <c r="BD617" s="25"/>
      <c r="BE617" s="25"/>
    </row>
    <row r="618" spans="55:57" x14ac:dyDescent="0.25">
      <c r="BC618" s="25"/>
      <c r="BD618" s="25"/>
      <c r="BE618" s="25"/>
    </row>
    <row r="619" spans="55:57" x14ac:dyDescent="0.25">
      <c r="BC619" s="25"/>
      <c r="BD619" s="25"/>
      <c r="BE619" s="25"/>
    </row>
    <row r="620" spans="55:57" x14ac:dyDescent="0.25">
      <c r="BC620" s="25"/>
      <c r="BD620" s="25"/>
      <c r="BE620" s="25"/>
    </row>
    <row r="621" spans="55:57" x14ac:dyDescent="0.25">
      <c r="BC621" s="25"/>
      <c r="BD621" s="25"/>
      <c r="BE621" s="25"/>
    </row>
    <row r="622" spans="55:57" x14ac:dyDescent="0.25">
      <c r="BC622" s="25"/>
      <c r="BD622" s="25"/>
      <c r="BE622" s="25"/>
    </row>
    <row r="623" spans="55:57" x14ac:dyDescent="0.25">
      <c r="BC623" s="25"/>
      <c r="BD623" s="25"/>
      <c r="BE623" s="25"/>
    </row>
    <row r="624" spans="55:57" x14ac:dyDescent="0.25">
      <c r="BC624" s="25"/>
      <c r="BD624" s="25"/>
      <c r="BE624" s="25"/>
    </row>
    <row r="625" spans="55:57" x14ac:dyDescent="0.25">
      <c r="BC625" s="25"/>
      <c r="BD625" s="25"/>
      <c r="BE625" s="25"/>
    </row>
    <row r="626" spans="55:57" x14ac:dyDescent="0.25">
      <c r="BC626" s="25"/>
      <c r="BD626" s="25"/>
      <c r="BE626" s="25"/>
    </row>
    <row r="627" spans="55:57" x14ac:dyDescent="0.25">
      <c r="BC627" s="25"/>
      <c r="BD627" s="25"/>
      <c r="BE627" s="25"/>
    </row>
    <row r="628" spans="55:57" x14ac:dyDescent="0.25">
      <c r="BC628" s="25"/>
      <c r="BD628" s="25"/>
      <c r="BE628" s="25"/>
    </row>
    <row r="629" spans="55:57" x14ac:dyDescent="0.25">
      <c r="BC629" s="25"/>
      <c r="BD629" s="25"/>
      <c r="BE629" s="25"/>
    </row>
    <row r="630" spans="55:57" x14ac:dyDescent="0.25">
      <c r="BC630" s="25"/>
      <c r="BD630" s="25"/>
      <c r="BE630" s="25"/>
    </row>
    <row r="631" spans="55:57" x14ac:dyDescent="0.25">
      <c r="BC631" s="25"/>
      <c r="BD631" s="25"/>
      <c r="BE631" s="25"/>
    </row>
    <row r="632" spans="55:57" x14ac:dyDescent="0.25">
      <c r="BC632" s="25"/>
      <c r="BD632" s="25"/>
      <c r="BE632" s="25"/>
    </row>
    <row r="633" spans="55:57" x14ac:dyDescent="0.25">
      <c r="BC633" s="25"/>
      <c r="BD633" s="25"/>
      <c r="BE633" s="25"/>
    </row>
    <row r="634" spans="55:57" x14ac:dyDescent="0.25">
      <c r="BC634" s="25"/>
      <c r="BD634" s="25"/>
      <c r="BE634" s="25"/>
    </row>
    <row r="635" spans="55:57" x14ac:dyDescent="0.25">
      <c r="BC635" s="25"/>
      <c r="BD635" s="25"/>
      <c r="BE635" s="25"/>
    </row>
    <row r="636" spans="55:57" x14ac:dyDescent="0.25">
      <c r="BC636" s="25"/>
      <c r="BD636" s="25"/>
      <c r="BE636" s="25"/>
    </row>
    <row r="637" spans="55:57" x14ac:dyDescent="0.25">
      <c r="BC637" s="25"/>
      <c r="BD637" s="25"/>
      <c r="BE637" s="25"/>
    </row>
    <row r="638" spans="55:57" x14ac:dyDescent="0.25">
      <c r="BC638" s="25"/>
      <c r="BD638" s="25"/>
      <c r="BE638" s="25"/>
    </row>
    <row r="639" spans="55:57" x14ac:dyDescent="0.25">
      <c r="BC639" s="25"/>
      <c r="BD639" s="25"/>
      <c r="BE639" s="25"/>
    </row>
    <row r="640" spans="55:57" x14ac:dyDescent="0.25">
      <c r="BC640" s="25"/>
      <c r="BD640" s="25"/>
      <c r="BE640" s="25"/>
    </row>
    <row r="641" spans="55:57" x14ac:dyDescent="0.25">
      <c r="BC641" s="25"/>
      <c r="BD641" s="25"/>
      <c r="BE641" s="25"/>
    </row>
    <row r="642" spans="55:57" x14ac:dyDescent="0.25">
      <c r="BC642" s="25"/>
      <c r="BD642" s="25"/>
      <c r="BE642" s="25"/>
    </row>
    <row r="643" spans="55:57" x14ac:dyDescent="0.25">
      <c r="BC643" s="25"/>
      <c r="BD643" s="25"/>
      <c r="BE643" s="25"/>
    </row>
    <row r="644" spans="55:57" x14ac:dyDescent="0.25">
      <c r="BC644" s="25"/>
      <c r="BD644" s="25"/>
      <c r="BE644" s="25"/>
    </row>
    <row r="645" spans="55:57" x14ac:dyDescent="0.25">
      <c r="BC645" s="25"/>
      <c r="BD645" s="25"/>
      <c r="BE645" s="25"/>
    </row>
    <row r="646" spans="55:57" x14ac:dyDescent="0.25">
      <c r="BC646" s="25"/>
      <c r="BD646" s="25"/>
      <c r="BE646" s="25"/>
    </row>
    <row r="647" spans="55:57" x14ac:dyDescent="0.25">
      <c r="BC647" s="25"/>
      <c r="BD647" s="25"/>
      <c r="BE647" s="25"/>
    </row>
    <row r="648" spans="55:57" x14ac:dyDescent="0.25">
      <c r="BC648" s="25"/>
      <c r="BD648" s="25"/>
      <c r="BE648" s="25"/>
    </row>
    <row r="649" spans="55:57" x14ac:dyDescent="0.25">
      <c r="BC649" s="25"/>
      <c r="BD649" s="25"/>
      <c r="BE649" s="25"/>
    </row>
    <row r="650" spans="55:57" x14ac:dyDescent="0.25">
      <c r="BC650" s="25"/>
      <c r="BD650" s="25"/>
      <c r="BE650" s="25"/>
    </row>
    <row r="651" spans="55:57" x14ac:dyDescent="0.25">
      <c r="BC651" s="25"/>
      <c r="BD651" s="25"/>
      <c r="BE651" s="25"/>
    </row>
    <row r="652" spans="55:57" x14ac:dyDescent="0.25">
      <c r="BC652" s="25"/>
      <c r="BD652" s="25"/>
      <c r="BE652" s="25"/>
    </row>
    <row r="653" spans="55:57" x14ac:dyDescent="0.25">
      <c r="BC653" s="25"/>
      <c r="BD653" s="25"/>
      <c r="BE653" s="25"/>
    </row>
    <row r="654" spans="55:57" x14ac:dyDescent="0.25">
      <c r="BC654" s="25"/>
      <c r="BD654" s="25"/>
      <c r="BE654" s="25"/>
    </row>
    <row r="655" spans="55:57" x14ac:dyDescent="0.25">
      <c r="BC655" s="25"/>
      <c r="BD655" s="25"/>
      <c r="BE655" s="25"/>
    </row>
    <row r="656" spans="55:57" x14ac:dyDescent="0.25">
      <c r="BC656" s="25"/>
      <c r="BD656" s="25"/>
      <c r="BE656" s="25"/>
    </row>
    <row r="657" spans="55:57" x14ac:dyDescent="0.25">
      <c r="BC657" s="25"/>
      <c r="BD657" s="25"/>
      <c r="BE657" s="25"/>
    </row>
    <row r="658" spans="55:57" x14ac:dyDescent="0.25">
      <c r="BC658" s="25"/>
      <c r="BD658" s="25"/>
      <c r="BE658" s="25"/>
    </row>
    <row r="659" spans="55:57" x14ac:dyDescent="0.25">
      <c r="BC659" s="25"/>
      <c r="BD659" s="25"/>
      <c r="BE659" s="25"/>
    </row>
    <row r="660" spans="55:57" x14ac:dyDescent="0.25">
      <c r="BC660" s="25"/>
      <c r="BD660" s="25"/>
      <c r="BE660" s="25"/>
    </row>
    <row r="661" spans="55:57" x14ac:dyDescent="0.25">
      <c r="BC661" s="25"/>
      <c r="BD661" s="25"/>
      <c r="BE661" s="25"/>
    </row>
    <row r="662" spans="55:57" x14ac:dyDescent="0.25">
      <c r="BC662" s="25"/>
      <c r="BD662" s="25"/>
      <c r="BE662" s="25"/>
    </row>
    <row r="663" spans="55:57" x14ac:dyDescent="0.25">
      <c r="BC663" s="25"/>
      <c r="BD663" s="25"/>
      <c r="BE663" s="25"/>
    </row>
    <row r="664" spans="55:57" x14ac:dyDescent="0.25">
      <c r="BC664" s="25"/>
      <c r="BD664" s="25"/>
      <c r="BE664" s="25"/>
    </row>
    <row r="665" spans="55:57" x14ac:dyDescent="0.25">
      <c r="BC665" s="25"/>
      <c r="BD665" s="25"/>
      <c r="BE665" s="25"/>
    </row>
    <row r="666" spans="55:57" x14ac:dyDescent="0.25">
      <c r="BC666" s="25"/>
      <c r="BD666" s="25"/>
      <c r="BE666" s="25"/>
    </row>
    <row r="667" spans="55:57" x14ac:dyDescent="0.25">
      <c r="BC667" s="25"/>
      <c r="BD667" s="25"/>
      <c r="BE667" s="25"/>
    </row>
    <row r="668" spans="55:57" x14ac:dyDescent="0.25">
      <c r="BC668" s="25"/>
      <c r="BD668" s="25"/>
      <c r="BE668" s="25"/>
    </row>
    <row r="669" spans="55:57" x14ac:dyDescent="0.25">
      <c r="BC669" s="25"/>
      <c r="BD669" s="25"/>
      <c r="BE669" s="25"/>
    </row>
    <row r="670" spans="55:57" x14ac:dyDescent="0.25">
      <c r="BC670" s="25"/>
      <c r="BD670" s="25"/>
      <c r="BE670" s="25"/>
    </row>
    <row r="671" spans="55:57" x14ac:dyDescent="0.25">
      <c r="BC671" s="25"/>
      <c r="BD671" s="25"/>
      <c r="BE671" s="25"/>
    </row>
    <row r="672" spans="55:57" x14ac:dyDescent="0.25">
      <c r="BC672" s="25"/>
      <c r="BD672" s="25"/>
      <c r="BE672" s="25"/>
    </row>
    <row r="673" spans="55:57" x14ac:dyDescent="0.25">
      <c r="BC673" s="25"/>
      <c r="BD673" s="25"/>
      <c r="BE673" s="25"/>
    </row>
    <row r="674" spans="55:57" x14ac:dyDescent="0.25">
      <c r="BC674" s="25"/>
      <c r="BD674" s="25"/>
      <c r="BE674" s="25"/>
    </row>
    <row r="675" spans="55:57" x14ac:dyDescent="0.25">
      <c r="BC675" s="25"/>
      <c r="BD675" s="25"/>
      <c r="BE675" s="25"/>
    </row>
    <row r="676" spans="55:57" x14ac:dyDescent="0.25">
      <c r="BC676" s="25"/>
      <c r="BD676" s="25"/>
      <c r="BE676" s="25"/>
    </row>
    <row r="677" spans="55:57" x14ac:dyDescent="0.25">
      <c r="BC677" s="25"/>
      <c r="BD677" s="25"/>
      <c r="BE677" s="25"/>
    </row>
    <row r="678" spans="55:57" x14ac:dyDescent="0.25">
      <c r="BC678" s="25"/>
      <c r="BD678" s="25"/>
      <c r="BE678" s="25"/>
    </row>
    <row r="679" spans="55:57" x14ac:dyDescent="0.25">
      <c r="BC679" s="25"/>
      <c r="BD679" s="25"/>
      <c r="BE679" s="25"/>
    </row>
    <row r="680" spans="55:57" x14ac:dyDescent="0.25">
      <c r="BC680" s="25"/>
      <c r="BD680" s="25"/>
      <c r="BE680" s="25"/>
    </row>
    <row r="681" spans="55:57" x14ac:dyDescent="0.25">
      <c r="BC681" s="25"/>
      <c r="BD681" s="25"/>
      <c r="BE681" s="25"/>
    </row>
    <row r="682" spans="55:57" x14ac:dyDescent="0.25">
      <c r="BC682" s="25"/>
      <c r="BD682" s="25"/>
      <c r="BE682" s="25"/>
    </row>
    <row r="683" spans="55:57" x14ac:dyDescent="0.25">
      <c r="BC683" s="25"/>
      <c r="BD683" s="25"/>
      <c r="BE683" s="25"/>
    </row>
    <row r="684" spans="55:57" x14ac:dyDescent="0.25">
      <c r="BC684" s="25"/>
      <c r="BD684" s="25"/>
      <c r="BE684" s="25"/>
    </row>
    <row r="685" spans="55:57" x14ac:dyDescent="0.25">
      <c r="BC685" s="25"/>
      <c r="BD685" s="25"/>
      <c r="BE685" s="25"/>
    </row>
    <row r="686" spans="55:57" x14ac:dyDescent="0.25">
      <c r="BC686" s="25"/>
      <c r="BD686" s="25"/>
      <c r="BE686" s="25"/>
    </row>
    <row r="687" spans="55:57" x14ac:dyDescent="0.25">
      <c r="BC687" s="25"/>
      <c r="BD687" s="25"/>
      <c r="BE687" s="25"/>
    </row>
    <row r="688" spans="55:57" x14ac:dyDescent="0.25">
      <c r="BC688" s="25"/>
      <c r="BD688" s="25"/>
      <c r="BE688" s="25"/>
    </row>
    <row r="689" spans="55:57" x14ac:dyDescent="0.25">
      <c r="BC689" s="25"/>
      <c r="BD689" s="25"/>
      <c r="BE689" s="25"/>
    </row>
    <row r="690" spans="55:57" x14ac:dyDescent="0.25">
      <c r="BC690" s="25"/>
      <c r="BD690" s="25"/>
      <c r="BE690" s="25"/>
    </row>
    <row r="691" spans="55:57" x14ac:dyDescent="0.25">
      <c r="BC691" s="25"/>
      <c r="BD691" s="25"/>
      <c r="BE691" s="25"/>
    </row>
    <row r="692" spans="55:57" x14ac:dyDescent="0.25">
      <c r="BC692" s="25"/>
      <c r="BD692" s="25"/>
      <c r="BE692" s="25"/>
    </row>
    <row r="693" spans="55:57" x14ac:dyDescent="0.25">
      <c r="BC693" s="25"/>
      <c r="BD693" s="25"/>
      <c r="BE693" s="25"/>
    </row>
    <row r="694" spans="55:57" x14ac:dyDescent="0.25">
      <c r="BC694" s="25"/>
      <c r="BD694" s="25"/>
      <c r="BE694" s="25"/>
    </row>
    <row r="695" spans="55:57" x14ac:dyDescent="0.25">
      <c r="BC695" s="25"/>
      <c r="BD695" s="25"/>
      <c r="BE695" s="25"/>
    </row>
    <row r="696" spans="55:57" x14ac:dyDescent="0.25">
      <c r="BC696" s="25"/>
      <c r="BD696" s="25"/>
      <c r="BE696" s="25"/>
    </row>
    <row r="697" spans="55:57" x14ac:dyDescent="0.25">
      <c r="BC697" s="25"/>
      <c r="BD697" s="25"/>
      <c r="BE697" s="25"/>
    </row>
    <row r="698" spans="55:57" x14ac:dyDescent="0.25">
      <c r="BC698" s="25"/>
      <c r="BD698" s="25"/>
      <c r="BE698" s="25"/>
    </row>
    <row r="699" spans="55:57" x14ac:dyDescent="0.25">
      <c r="BC699" s="25"/>
      <c r="BD699" s="25"/>
      <c r="BE699" s="25"/>
    </row>
    <row r="700" spans="55:57" x14ac:dyDescent="0.25">
      <c r="BC700" s="25"/>
      <c r="BD700" s="25"/>
      <c r="BE700" s="25"/>
    </row>
    <row r="701" spans="55:57" x14ac:dyDescent="0.25">
      <c r="BC701" s="25"/>
      <c r="BD701" s="25"/>
      <c r="BE701" s="25"/>
    </row>
    <row r="702" spans="55:57" x14ac:dyDescent="0.25">
      <c r="BC702" s="25"/>
      <c r="BD702" s="25"/>
      <c r="BE702" s="25"/>
    </row>
    <row r="703" spans="55:57" x14ac:dyDescent="0.25">
      <c r="BC703" s="25"/>
      <c r="BD703" s="25"/>
      <c r="BE703" s="25"/>
    </row>
    <row r="704" spans="55:57" x14ac:dyDescent="0.25">
      <c r="BC704" s="25"/>
      <c r="BD704" s="25"/>
      <c r="BE704" s="25"/>
    </row>
    <row r="705" spans="55:57" x14ac:dyDescent="0.25">
      <c r="BC705" s="25"/>
      <c r="BD705" s="25"/>
      <c r="BE705" s="25"/>
    </row>
    <row r="706" spans="55:57" x14ac:dyDescent="0.25">
      <c r="BC706" s="25"/>
      <c r="BD706" s="25"/>
      <c r="BE706" s="25"/>
    </row>
    <row r="707" spans="55:57" x14ac:dyDescent="0.25">
      <c r="BC707" s="25"/>
      <c r="BD707" s="25"/>
      <c r="BE707" s="25"/>
    </row>
    <row r="708" spans="55:57" x14ac:dyDescent="0.25">
      <c r="BC708" s="25"/>
      <c r="BD708" s="25"/>
      <c r="BE708" s="25"/>
    </row>
    <row r="709" spans="55:57" x14ac:dyDescent="0.25">
      <c r="BC709" s="25"/>
      <c r="BD709" s="25"/>
      <c r="BE709" s="25"/>
    </row>
    <row r="710" spans="55:57" x14ac:dyDescent="0.25">
      <c r="BC710" s="25"/>
      <c r="BD710" s="25"/>
      <c r="BE710" s="25"/>
    </row>
    <row r="711" spans="55:57" x14ac:dyDescent="0.25">
      <c r="BC711" s="25"/>
      <c r="BD711" s="25"/>
      <c r="BE711" s="25"/>
    </row>
    <row r="712" spans="55:57" x14ac:dyDescent="0.25">
      <c r="BC712" s="25"/>
      <c r="BD712" s="25"/>
      <c r="BE712" s="25"/>
    </row>
    <row r="713" spans="55:57" x14ac:dyDescent="0.25">
      <c r="BC713" s="25"/>
      <c r="BD713" s="25"/>
      <c r="BE713" s="25"/>
    </row>
    <row r="714" spans="55:57" x14ac:dyDescent="0.25">
      <c r="BC714" s="25"/>
      <c r="BD714" s="25"/>
      <c r="BE714" s="25"/>
    </row>
    <row r="715" spans="55:57" x14ac:dyDescent="0.25">
      <c r="BC715" s="25"/>
      <c r="BD715" s="25"/>
      <c r="BE715" s="25"/>
    </row>
    <row r="716" spans="55:57" x14ac:dyDescent="0.25">
      <c r="BC716" s="25"/>
      <c r="BD716" s="25"/>
      <c r="BE716" s="25"/>
    </row>
    <row r="717" spans="55:57" x14ac:dyDescent="0.25">
      <c r="BC717" s="25"/>
      <c r="BD717" s="25"/>
      <c r="BE717" s="25"/>
    </row>
    <row r="718" spans="55:57" x14ac:dyDescent="0.25">
      <c r="BC718" s="25"/>
      <c r="BD718" s="25"/>
      <c r="BE718" s="25"/>
    </row>
    <row r="719" spans="55:57" x14ac:dyDescent="0.25">
      <c r="BC719" s="25"/>
      <c r="BD719" s="25"/>
      <c r="BE719" s="25"/>
    </row>
    <row r="720" spans="55:57" x14ac:dyDescent="0.25">
      <c r="BC720" s="25"/>
      <c r="BD720" s="25"/>
      <c r="BE720" s="25"/>
    </row>
    <row r="721" spans="55:57" x14ac:dyDescent="0.25">
      <c r="BC721" s="25"/>
      <c r="BD721" s="25"/>
      <c r="BE721" s="25"/>
    </row>
    <row r="722" spans="55:57" x14ac:dyDescent="0.25">
      <c r="BC722" s="25"/>
      <c r="BD722" s="25"/>
      <c r="BE722" s="25"/>
    </row>
    <row r="723" spans="55:57" x14ac:dyDescent="0.25">
      <c r="BC723" s="25"/>
      <c r="BD723" s="25"/>
      <c r="BE723" s="25"/>
    </row>
    <row r="724" spans="55:57" x14ac:dyDescent="0.25">
      <c r="BC724" s="25"/>
      <c r="BD724" s="25"/>
      <c r="BE724" s="25"/>
    </row>
    <row r="725" spans="55:57" x14ac:dyDescent="0.25">
      <c r="BC725" s="25"/>
      <c r="BD725" s="25"/>
      <c r="BE725" s="25"/>
    </row>
    <row r="726" spans="55:57" x14ac:dyDescent="0.25">
      <c r="BC726" s="25"/>
      <c r="BD726" s="25"/>
      <c r="BE726" s="25"/>
    </row>
    <row r="727" spans="55:57" x14ac:dyDescent="0.25">
      <c r="BC727" s="25"/>
      <c r="BD727" s="25"/>
      <c r="BE727" s="25"/>
    </row>
    <row r="728" spans="55:57" x14ac:dyDescent="0.25">
      <c r="BC728" s="25"/>
      <c r="BD728" s="25"/>
      <c r="BE728" s="25"/>
    </row>
    <row r="729" spans="55:57" x14ac:dyDescent="0.25">
      <c r="BC729" s="25"/>
      <c r="BD729" s="25"/>
      <c r="BE729" s="25"/>
    </row>
    <row r="730" spans="55:57" x14ac:dyDescent="0.25">
      <c r="BC730" s="25"/>
      <c r="BD730" s="25"/>
      <c r="BE730" s="25"/>
    </row>
    <row r="731" spans="55:57" x14ac:dyDescent="0.25">
      <c r="BC731" s="25"/>
      <c r="BD731" s="25"/>
      <c r="BE731" s="25"/>
    </row>
    <row r="732" spans="55:57" x14ac:dyDescent="0.25">
      <c r="BC732" s="25"/>
      <c r="BD732" s="25"/>
      <c r="BE732" s="25"/>
    </row>
    <row r="733" spans="55:57" x14ac:dyDescent="0.25">
      <c r="BC733" s="25"/>
      <c r="BD733" s="25"/>
      <c r="BE733" s="25"/>
    </row>
    <row r="734" spans="55:57" x14ac:dyDescent="0.25">
      <c r="BC734" s="25"/>
      <c r="BD734" s="25"/>
      <c r="BE734" s="25"/>
    </row>
    <row r="735" spans="55:57" x14ac:dyDescent="0.25">
      <c r="BC735" s="25"/>
      <c r="BD735" s="25"/>
      <c r="BE735" s="25"/>
    </row>
    <row r="736" spans="55:57" x14ac:dyDescent="0.25">
      <c r="BC736" s="25"/>
      <c r="BD736" s="25"/>
      <c r="BE736" s="25"/>
    </row>
    <row r="737" spans="55:57" x14ac:dyDescent="0.25">
      <c r="BC737" s="25"/>
      <c r="BD737" s="25"/>
      <c r="BE737" s="25"/>
    </row>
    <row r="738" spans="55:57" x14ac:dyDescent="0.25">
      <c r="BC738" s="25"/>
      <c r="BD738" s="25"/>
      <c r="BE738" s="25"/>
    </row>
    <row r="739" spans="55:57" x14ac:dyDescent="0.25">
      <c r="BC739" s="25"/>
      <c r="BD739" s="25"/>
      <c r="BE739" s="25"/>
    </row>
    <row r="740" spans="55:57" x14ac:dyDescent="0.25">
      <c r="BC740" s="25"/>
      <c r="BD740" s="25"/>
      <c r="BE740" s="25"/>
    </row>
    <row r="741" spans="55:57" x14ac:dyDescent="0.25">
      <c r="BC741" s="25"/>
      <c r="BD741" s="25"/>
      <c r="BE741" s="25"/>
    </row>
    <row r="742" spans="55:57" x14ac:dyDescent="0.25">
      <c r="BC742" s="25"/>
      <c r="BD742" s="25"/>
      <c r="BE742" s="25"/>
    </row>
    <row r="743" spans="55:57" x14ac:dyDescent="0.25">
      <c r="BC743" s="25"/>
      <c r="BD743" s="25"/>
      <c r="BE743" s="25"/>
    </row>
    <row r="744" spans="55:57" x14ac:dyDescent="0.25">
      <c r="BC744" s="25"/>
      <c r="BD744" s="25"/>
      <c r="BE744" s="25"/>
    </row>
    <row r="745" spans="55:57" x14ac:dyDescent="0.25">
      <c r="BC745" s="25"/>
      <c r="BD745" s="25"/>
      <c r="BE745" s="25"/>
    </row>
    <row r="746" spans="55:57" x14ac:dyDescent="0.25">
      <c r="BC746" s="25"/>
      <c r="BD746" s="25"/>
      <c r="BE746" s="25"/>
    </row>
    <row r="747" spans="55:57" x14ac:dyDescent="0.25">
      <c r="BC747" s="25"/>
      <c r="BD747" s="25"/>
      <c r="BE747" s="25"/>
    </row>
    <row r="748" spans="55:57" x14ac:dyDescent="0.25">
      <c r="BC748" s="25"/>
      <c r="BD748" s="25"/>
      <c r="BE748" s="25"/>
    </row>
    <row r="749" spans="55:57" x14ac:dyDescent="0.25">
      <c r="BC749" s="25"/>
      <c r="BD749" s="25"/>
      <c r="BE749" s="25"/>
    </row>
    <row r="750" spans="55:57" x14ac:dyDescent="0.25">
      <c r="BC750" s="25"/>
      <c r="BD750" s="25"/>
      <c r="BE750" s="25"/>
    </row>
    <row r="751" spans="55:57" x14ac:dyDescent="0.25">
      <c r="BC751" s="25"/>
      <c r="BD751" s="25"/>
      <c r="BE751" s="25"/>
    </row>
    <row r="752" spans="55:57" x14ac:dyDescent="0.25">
      <c r="BC752" s="25"/>
      <c r="BD752" s="25"/>
      <c r="BE752" s="25"/>
    </row>
    <row r="753" spans="55:57" x14ac:dyDescent="0.25">
      <c r="BC753" s="25"/>
      <c r="BD753" s="25"/>
      <c r="BE753" s="25"/>
    </row>
    <row r="754" spans="55:57" x14ac:dyDescent="0.25">
      <c r="BC754" s="25"/>
      <c r="BD754" s="25"/>
      <c r="BE754" s="25"/>
    </row>
    <row r="755" spans="55:57" x14ac:dyDescent="0.25">
      <c r="BC755" s="25"/>
      <c r="BD755" s="25"/>
      <c r="BE755" s="25"/>
    </row>
    <row r="756" spans="55:57" x14ac:dyDescent="0.25">
      <c r="BC756" s="25"/>
      <c r="BD756" s="25"/>
      <c r="BE756" s="25"/>
    </row>
    <row r="757" spans="55:57" x14ac:dyDescent="0.25">
      <c r="BC757" s="25"/>
      <c r="BD757" s="25"/>
      <c r="BE757" s="25"/>
    </row>
    <row r="758" spans="55:57" x14ac:dyDescent="0.25">
      <c r="BC758" s="25"/>
      <c r="BD758" s="25"/>
      <c r="BE758" s="25"/>
    </row>
    <row r="759" spans="55:57" x14ac:dyDescent="0.25">
      <c r="BC759" s="25"/>
      <c r="BD759" s="25"/>
      <c r="BE759" s="25"/>
    </row>
    <row r="760" spans="55:57" x14ac:dyDescent="0.25">
      <c r="BC760" s="25"/>
      <c r="BD760" s="25"/>
      <c r="BE760" s="25"/>
    </row>
    <row r="761" spans="55:57" x14ac:dyDescent="0.25">
      <c r="BC761" s="25"/>
      <c r="BD761" s="25"/>
      <c r="BE761" s="25"/>
    </row>
    <row r="762" spans="55:57" x14ac:dyDescent="0.25">
      <c r="BC762" s="25"/>
      <c r="BD762" s="25"/>
      <c r="BE762" s="25"/>
    </row>
    <row r="763" spans="55:57" x14ac:dyDescent="0.25">
      <c r="BC763" s="25"/>
      <c r="BD763" s="25"/>
      <c r="BE763" s="25"/>
    </row>
    <row r="764" spans="55:57" x14ac:dyDescent="0.25">
      <c r="BC764" s="25"/>
      <c r="BD764" s="25"/>
      <c r="BE764" s="25"/>
    </row>
    <row r="765" spans="55:57" x14ac:dyDescent="0.25">
      <c r="BC765" s="25"/>
      <c r="BD765" s="25"/>
      <c r="BE765" s="25"/>
    </row>
    <row r="766" spans="55:57" x14ac:dyDescent="0.25">
      <c r="BC766" s="25"/>
      <c r="BD766" s="25"/>
      <c r="BE766" s="25"/>
    </row>
    <row r="767" spans="55:57" x14ac:dyDescent="0.25">
      <c r="BC767" s="25"/>
      <c r="BD767" s="25"/>
      <c r="BE767" s="25"/>
    </row>
    <row r="768" spans="55:57" x14ac:dyDescent="0.25">
      <c r="BC768" s="25"/>
      <c r="BD768" s="25"/>
      <c r="BE768" s="25"/>
    </row>
    <row r="769" spans="55:57" x14ac:dyDescent="0.25">
      <c r="BC769" s="25"/>
      <c r="BD769" s="25"/>
      <c r="BE769" s="25"/>
    </row>
    <row r="770" spans="55:57" x14ac:dyDescent="0.25">
      <c r="BC770" s="25"/>
      <c r="BD770" s="25"/>
      <c r="BE770" s="25"/>
    </row>
    <row r="771" spans="55:57" x14ac:dyDescent="0.25">
      <c r="BC771" s="25"/>
      <c r="BD771" s="25"/>
      <c r="BE771" s="25"/>
    </row>
    <row r="772" spans="55:57" x14ac:dyDescent="0.25">
      <c r="BC772" s="25"/>
      <c r="BD772" s="25"/>
      <c r="BE772" s="25"/>
    </row>
    <row r="773" spans="55:57" x14ac:dyDescent="0.25">
      <c r="BC773" s="25"/>
      <c r="BD773" s="25"/>
      <c r="BE773" s="25"/>
    </row>
    <row r="774" spans="55:57" x14ac:dyDescent="0.25">
      <c r="BC774" s="25"/>
      <c r="BD774" s="25"/>
      <c r="BE774" s="25"/>
    </row>
    <row r="775" spans="55:57" x14ac:dyDescent="0.25">
      <c r="BC775" s="25"/>
      <c r="BD775" s="25"/>
      <c r="BE775" s="25"/>
    </row>
    <row r="776" spans="55:57" x14ac:dyDescent="0.25">
      <c r="BC776" s="25"/>
      <c r="BD776" s="25"/>
      <c r="BE776" s="25"/>
    </row>
    <row r="777" spans="55:57" x14ac:dyDescent="0.25">
      <c r="BC777" s="25"/>
      <c r="BD777" s="25"/>
      <c r="BE777" s="25"/>
    </row>
    <row r="778" spans="55:57" x14ac:dyDescent="0.25">
      <c r="BC778" s="25"/>
      <c r="BD778" s="25"/>
      <c r="BE778" s="25"/>
    </row>
    <row r="779" spans="55:57" x14ac:dyDescent="0.25">
      <c r="BC779" s="25"/>
      <c r="BD779" s="25"/>
      <c r="BE779" s="25"/>
    </row>
    <row r="780" spans="55:57" x14ac:dyDescent="0.25">
      <c r="BC780" s="25"/>
      <c r="BD780" s="25"/>
      <c r="BE780" s="25"/>
    </row>
    <row r="781" spans="55:57" x14ac:dyDescent="0.25">
      <c r="BC781" s="25"/>
      <c r="BD781" s="25"/>
      <c r="BE781" s="25"/>
    </row>
    <row r="782" spans="55:57" x14ac:dyDescent="0.25">
      <c r="BC782" s="25"/>
      <c r="BD782" s="25"/>
      <c r="BE782" s="25"/>
    </row>
    <row r="783" spans="55:57" x14ac:dyDescent="0.25">
      <c r="BC783" s="25"/>
      <c r="BD783" s="25"/>
      <c r="BE783" s="25"/>
    </row>
    <row r="784" spans="55:57" x14ac:dyDescent="0.25">
      <c r="BC784" s="25"/>
      <c r="BD784" s="25"/>
      <c r="BE784" s="25"/>
    </row>
    <row r="785" spans="55:57" x14ac:dyDescent="0.25">
      <c r="BC785" s="25"/>
      <c r="BD785" s="25"/>
      <c r="BE785" s="25"/>
    </row>
    <row r="786" spans="55:57" x14ac:dyDescent="0.25">
      <c r="BC786" s="25"/>
      <c r="BD786" s="25"/>
      <c r="BE786" s="25"/>
    </row>
    <row r="787" spans="55:57" x14ac:dyDescent="0.25">
      <c r="BC787" s="25"/>
      <c r="BD787" s="25"/>
      <c r="BE787" s="25"/>
    </row>
    <row r="788" spans="55:57" x14ac:dyDescent="0.25">
      <c r="BC788" s="25"/>
      <c r="BD788" s="25"/>
      <c r="BE788" s="25"/>
    </row>
    <row r="789" spans="55:57" x14ac:dyDescent="0.25">
      <c r="BC789" s="25"/>
      <c r="BD789" s="25"/>
      <c r="BE789" s="25"/>
    </row>
    <row r="790" spans="55:57" x14ac:dyDescent="0.25">
      <c r="BC790" s="25"/>
      <c r="BD790" s="25"/>
      <c r="BE790" s="25"/>
    </row>
    <row r="791" spans="55:57" x14ac:dyDescent="0.25">
      <c r="BC791" s="25"/>
      <c r="BD791" s="25"/>
      <c r="BE791" s="25"/>
    </row>
    <row r="792" spans="55:57" x14ac:dyDescent="0.25">
      <c r="BC792" s="25"/>
      <c r="BD792" s="25"/>
      <c r="BE792" s="25"/>
    </row>
    <row r="793" spans="55:57" x14ac:dyDescent="0.25">
      <c r="BC793" s="25"/>
      <c r="BD793" s="25"/>
      <c r="BE793" s="25"/>
    </row>
    <row r="794" spans="55:57" x14ac:dyDescent="0.25">
      <c r="BC794" s="25"/>
      <c r="BD794" s="25"/>
      <c r="BE794" s="25"/>
    </row>
    <row r="795" spans="55:57" x14ac:dyDescent="0.25">
      <c r="BC795" s="25"/>
      <c r="BD795" s="25"/>
      <c r="BE795" s="25"/>
    </row>
    <row r="796" spans="55:57" x14ac:dyDescent="0.25">
      <c r="BC796" s="25"/>
      <c r="BD796" s="25"/>
      <c r="BE796" s="25"/>
    </row>
    <row r="797" spans="55:57" x14ac:dyDescent="0.25">
      <c r="BC797" s="25"/>
      <c r="BD797" s="25"/>
      <c r="BE797" s="25"/>
    </row>
    <row r="798" spans="55:57" x14ac:dyDescent="0.25">
      <c r="BC798" s="25"/>
      <c r="BD798" s="25"/>
      <c r="BE798" s="25"/>
    </row>
    <row r="799" spans="55:57" x14ac:dyDescent="0.25">
      <c r="BC799" s="25"/>
      <c r="BD799" s="25"/>
      <c r="BE799" s="25"/>
    </row>
    <row r="800" spans="55:57" x14ac:dyDescent="0.25">
      <c r="BC800" s="25"/>
      <c r="BD800" s="25"/>
      <c r="BE800" s="25"/>
    </row>
    <row r="801" spans="55:57" x14ac:dyDescent="0.25">
      <c r="BC801" s="25"/>
      <c r="BD801" s="25"/>
      <c r="BE801" s="25"/>
    </row>
    <row r="802" spans="55:57" x14ac:dyDescent="0.25">
      <c r="BC802" s="25"/>
      <c r="BD802" s="25"/>
      <c r="BE802" s="25"/>
    </row>
    <row r="803" spans="55:57" x14ac:dyDescent="0.25">
      <c r="BC803" s="25"/>
      <c r="BD803" s="25"/>
      <c r="BE803" s="25"/>
    </row>
    <row r="804" spans="55:57" x14ac:dyDescent="0.25">
      <c r="BC804" s="25"/>
      <c r="BD804" s="25"/>
      <c r="BE804" s="25"/>
    </row>
    <row r="805" spans="55:57" x14ac:dyDescent="0.25">
      <c r="BC805" s="25"/>
      <c r="BD805" s="25"/>
      <c r="BE805" s="25"/>
    </row>
    <row r="806" spans="55:57" x14ac:dyDescent="0.25">
      <c r="BC806" s="25"/>
      <c r="BD806" s="25"/>
      <c r="BE806" s="25"/>
    </row>
    <row r="807" spans="55:57" x14ac:dyDescent="0.25">
      <c r="BC807" s="25"/>
      <c r="BD807" s="25"/>
      <c r="BE807" s="25"/>
    </row>
    <row r="808" spans="55:57" x14ac:dyDescent="0.25">
      <c r="BC808" s="25"/>
      <c r="BD808" s="25"/>
      <c r="BE808" s="25"/>
    </row>
    <row r="809" spans="55:57" x14ac:dyDescent="0.25">
      <c r="BC809" s="25"/>
      <c r="BD809" s="25"/>
      <c r="BE809" s="25"/>
    </row>
    <row r="810" spans="55:57" x14ac:dyDescent="0.25">
      <c r="BC810" s="25"/>
      <c r="BD810" s="25"/>
      <c r="BE810" s="25"/>
    </row>
    <row r="811" spans="55:57" x14ac:dyDescent="0.25">
      <c r="BC811" s="25"/>
      <c r="BD811" s="25"/>
      <c r="BE811" s="25"/>
    </row>
    <row r="812" spans="55:57" x14ac:dyDescent="0.25">
      <c r="BC812" s="25"/>
      <c r="BD812" s="25"/>
      <c r="BE812" s="25"/>
    </row>
    <row r="813" spans="55:57" x14ac:dyDescent="0.25">
      <c r="BC813" s="25"/>
      <c r="BD813" s="25"/>
      <c r="BE813" s="25"/>
    </row>
    <row r="814" spans="55:57" x14ac:dyDescent="0.25">
      <c r="BC814" s="25"/>
      <c r="BD814" s="25"/>
      <c r="BE814" s="25"/>
    </row>
    <row r="815" spans="55:57" x14ac:dyDescent="0.25">
      <c r="BC815" s="25"/>
      <c r="BD815" s="25"/>
      <c r="BE815" s="25"/>
    </row>
    <row r="816" spans="55:57" x14ac:dyDescent="0.25">
      <c r="BC816" s="25"/>
      <c r="BD816" s="25"/>
      <c r="BE816" s="25"/>
    </row>
    <row r="817" spans="55:57" x14ac:dyDescent="0.25">
      <c r="BC817" s="25"/>
      <c r="BD817" s="25"/>
      <c r="BE817" s="25"/>
    </row>
    <row r="818" spans="55:57" x14ac:dyDescent="0.25">
      <c r="BC818" s="25"/>
      <c r="BD818" s="25"/>
      <c r="BE818" s="25"/>
    </row>
    <row r="819" spans="55:57" x14ac:dyDescent="0.25">
      <c r="BC819" s="25"/>
      <c r="BD819" s="25"/>
      <c r="BE819" s="25"/>
    </row>
    <row r="820" spans="55:57" x14ac:dyDescent="0.25">
      <c r="BC820" s="25"/>
      <c r="BD820" s="25"/>
      <c r="BE820" s="25"/>
    </row>
    <row r="821" spans="55:57" x14ac:dyDescent="0.25">
      <c r="BC821" s="25"/>
      <c r="BD821" s="25"/>
      <c r="BE821" s="25"/>
    </row>
    <row r="822" spans="55:57" x14ac:dyDescent="0.25">
      <c r="BC822" s="25"/>
      <c r="BD822" s="25"/>
      <c r="BE822" s="25"/>
    </row>
    <row r="823" spans="55:57" x14ac:dyDescent="0.25">
      <c r="BC823" s="25"/>
      <c r="BD823" s="25"/>
      <c r="BE823" s="25"/>
    </row>
    <row r="824" spans="55:57" x14ac:dyDescent="0.25">
      <c r="BC824" s="25"/>
      <c r="BD824" s="25"/>
      <c r="BE824" s="25"/>
    </row>
    <row r="825" spans="55:57" x14ac:dyDescent="0.25">
      <c r="BC825" s="25"/>
      <c r="BD825" s="25"/>
      <c r="BE825" s="25"/>
    </row>
    <row r="826" spans="55:57" x14ac:dyDescent="0.25">
      <c r="BC826" s="25"/>
      <c r="BD826" s="25"/>
      <c r="BE826" s="25"/>
    </row>
    <row r="827" spans="55:57" x14ac:dyDescent="0.25">
      <c r="BC827" s="25"/>
      <c r="BD827" s="25"/>
      <c r="BE827" s="25"/>
    </row>
    <row r="828" spans="55:57" x14ac:dyDescent="0.25">
      <c r="BC828" s="25"/>
      <c r="BD828" s="25"/>
      <c r="BE828" s="25"/>
    </row>
    <row r="829" spans="55:57" x14ac:dyDescent="0.25">
      <c r="BC829" s="25"/>
      <c r="BD829" s="25"/>
      <c r="BE829" s="25"/>
    </row>
    <row r="830" spans="55:57" x14ac:dyDescent="0.25">
      <c r="BC830" s="25"/>
      <c r="BD830" s="25"/>
      <c r="BE830" s="25"/>
    </row>
    <row r="831" spans="55:57" x14ac:dyDescent="0.25">
      <c r="BC831" s="25"/>
      <c r="BD831" s="25"/>
      <c r="BE831" s="25"/>
    </row>
    <row r="832" spans="55:57" x14ac:dyDescent="0.25">
      <c r="BC832" s="25"/>
      <c r="BD832" s="25"/>
      <c r="BE832" s="25"/>
    </row>
    <row r="833" spans="55:57" x14ac:dyDescent="0.25">
      <c r="BC833" s="25"/>
      <c r="BD833" s="25"/>
      <c r="BE833" s="25"/>
    </row>
    <row r="834" spans="55:57" x14ac:dyDescent="0.25">
      <c r="BC834" s="25"/>
      <c r="BD834" s="25"/>
      <c r="BE834" s="25"/>
    </row>
    <row r="835" spans="55:57" x14ac:dyDescent="0.25">
      <c r="BC835" s="25"/>
      <c r="BD835" s="25"/>
      <c r="BE835" s="25"/>
    </row>
    <row r="836" spans="55:57" x14ac:dyDescent="0.25">
      <c r="BC836" s="25"/>
      <c r="BD836" s="25"/>
      <c r="BE836" s="25"/>
    </row>
    <row r="837" spans="55:57" x14ac:dyDescent="0.25">
      <c r="BC837" s="25"/>
      <c r="BD837" s="25"/>
      <c r="BE837" s="25"/>
    </row>
    <row r="838" spans="55:57" x14ac:dyDescent="0.25">
      <c r="BC838" s="25"/>
      <c r="BD838" s="25"/>
      <c r="BE838" s="25"/>
    </row>
    <row r="839" spans="55:57" x14ac:dyDescent="0.25">
      <c r="BC839" s="25"/>
      <c r="BD839" s="25"/>
      <c r="BE839" s="25"/>
    </row>
    <row r="840" spans="55:57" x14ac:dyDescent="0.25">
      <c r="BC840" s="25"/>
      <c r="BD840" s="25"/>
      <c r="BE840" s="25"/>
    </row>
    <row r="841" spans="55:57" x14ac:dyDescent="0.25">
      <c r="BC841" s="25"/>
      <c r="BD841" s="25"/>
      <c r="BE841" s="25"/>
    </row>
    <row r="842" spans="55:57" x14ac:dyDescent="0.25">
      <c r="BC842" s="25"/>
      <c r="BD842" s="25"/>
      <c r="BE842" s="25"/>
    </row>
    <row r="843" spans="55:57" x14ac:dyDescent="0.25">
      <c r="BC843" s="25"/>
      <c r="BD843" s="25"/>
      <c r="BE843" s="25"/>
    </row>
    <row r="844" spans="55:57" x14ac:dyDescent="0.25">
      <c r="BC844" s="25"/>
      <c r="BD844" s="25"/>
      <c r="BE844" s="25"/>
    </row>
    <row r="845" spans="55:57" x14ac:dyDescent="0.25">
      <c r="BC845" s="25"/>
      <c r="BD845" s="25"/>
      <c r="BE845" s="25"/>
    </row>
    <row r="846" spans="55:57" x14ac:dyDescent="0.25">
      <c r="BC846" s="25"/>
      <c r="BD846" s="25"/>
      <c r="BE846" s="25"/>
    </row>
    <row r="847" spans="55:57" x14ac:dyDescent="0.25">
      <c r="BC847" s="25"/>
      <c r="BD847" s="25"/>
      <c r="BE847" s="25"/>
    </row>
    <row r="848" spans="55:57" x14ac:dyDescent="0.25">
      <c r="BC848" s="25"/>
      <c r="BD848" s="25"/>
      <c r="BE848" s="25"/>
    </row>
    <row r="849" spans="55:57" x14ac:dyDescent="0.25">
      <c r="BC849" s="25"/>
      <c r="BD849" s="25"/>
      <c r="BE849" s="25"/>
    </row>
    <row r="850" spans="55:57" x14ac:dyDescent="0.25">
      <c r="BC850" s="25"/>
      <c r="BD850" s="25"/>
      <c r="BE850" s="25"/>
    </row>
    <row r="851" spans="55:57" x14ac:dyDescent="0.25">
      <c r="BC851" s="25"/>
      <c r="BD851" s="25"/>
      <c r="BE851" s="25"/>
    </row>
    <row r="852" spans="55:57" x14ac:dyDescent="0.25">
      <c r="BC852" s="25"/>
      <c r="BD852" s="25"/>
      <c r="BE852" s="25"/>
    </row>
    <row r="853" spans="55:57" x14ac:dyDescent="0.25">
      <c r="BC853" s="25"/>
      <c r="BD853" s="25"/>
      <c r="BE853" s="25"/>
    </row>
    <row r="854" spans="55:57" x14ac:dyDescent="0.25">
      <c r="BC854" s="25"/>
      <c r="BD854" s="25"/>
      <c r="BE854" s="25"/>
    </row>
    <row r="855" spans="55:57" x14ac:dyDescent="0.25">
      <c r="BC855" s="25"/>
      <c r="BD855" s="25"/>
      <c r="BE855" s="25"/>
    </row>
    <row r="856" spans="55:57" x14ac:dyDescent="0.25">
      <c r="BC856" s="25"/>
      <c r="BD856" s="25"/>
      <c r="BE856" s="25"/>
    </row>
    <row r="857" spans="55:57" x14ac:dyDescent="0.25">
      <c r="BC857" s="25"/>
      <c r="BD857" s="25"/>
      <c r="BE857" s="25"/>
    </row>
    <row r="858" spans="55:57" x14ac:dyDescent="0.25">
      <c r="BC858" s="25"/>
      <c r="BD858" s="25"/>
      <c r="BE858" s="25"/>
    </row>
    <row r="859" spans="55:57" x14ac:dyDescent="0.25">
      <c r="BC859" s="25"/>
      <c r="BD859" s="25"/>
      <c r="BE859" s="25"/>
    </row>
    <row r="860" spans="55:57" x14ac:dyDescent="0.25">
      <c r="BC860" s="25"/>
      <c r="BD860" s="25"/>
      <c r="BE860" s="25"/>
    </row>
    <row r="861" spans="55:57" x14ac:dyDescent="0.25">
      <c r="BC861" s="25"/>
      <c r="BD861" s="25"/>
      <c r="BE861" s="25"/>
    </row>
    <row r="862" spans="55:57" x14ac:dyDescent="0.25">
      <c r="BC862" s="25"/>
      <c r="BD862" s="25"/>
      <c r="BE862" s="25"/>
    </row>
    <row r="863" spans="55:57" x14ac:dyDescent="0.25">
      <c r="BC863" s="25"/>
      <c r="BD863" s="25"/>
      <c r="BE863" s="25"/>
    </row>
    <row r="864" spans="55:57" x14ac:dyDescent="0.25">
      <c r="BC864" s="25"/>
      <c r="BD864" s="25"/>
      <c r="BE864" s="25"/>
    </row>
    <row r="865" spans="55:57" x14ac:dyDescent="0.25">
      <c r="BC865" s="25"/>
      <c r="BD865" s="25"/>
      <c r="BE865" s="25"/>
    </row>
    <row r="866" spans="55:57" x14ac:dyDescent="0.25">
      <c r="BC866" s="25"/>
      <c r="BD866" s="25"/>
      <c r="BE866" s="25"/>
    </row>
    <row r="867" spans="55:57" x14ac:dyDescent="0.25">
      <c r="BC867" s="25"/>
      <c r="BD867" s="25"/>
      <c r="BE867" s="25"/>
    </row>
    <row r="868" spans="55:57" x14ac:dyDescent="0.25">
      <c r="BC868" s="25"/>
      <c r="BD868" s="25"/>
      <c r="BE868" s="25"/>
    </row>
    <row r="869" spans="55:57" x14ac:dyDescent="0.25">
      <c r="BC869" s="25"/>
      <c r="BD869" s="25"/>
      <c r="BE869" s="25"/>
    </row>
    <row r="870" spans="55:57" x14ac:dyDescent="0.25">
      <c r="BC870" s="25"/>
      <c r="BD870" s="25"/>
      <c r="BE870" s="25"/>
    </row>
    <row r="871" spans="55:57" x14ac:dyDescent="0.25">
      <c r="BC871" s="25"/>
      <c r="BD871" s="25"/>
      <c r="BE871" s="25"/>
    </row>
    <row r="872" spans="55:57" x14ac:dyDescent="0.25">
      <c r="BC872" s="25"/>
      <c r="BD872" s="25"/>
      <c r="BE872" s="25"/>
    </row>
    <row r="873" spans="55:57" x14ac:dyDescent="0.25">
      <c r="BC873" s="25"/>
      <c r="BD873" s="25"/>
      <c r="BE873" s="25"/>
    </row>
    <row r="874" spans="55:57" x14ac:dyDescent="0.25">
      <c r="BC874" s="25"/>
      <c r="BD874" s="25"/>
      <c r="BE874" s="25"/>
    </row>
    <row r="875" spans="55:57" x14ac:dyDescent="0.25">
      <c r="BC875" s="25"/>
      <c r="BD875" s="25"/>
      <c r="BE875" s="25"/>
    </row>
    <row r="876" spans="55:57" x14ac:dyDescent="0.25">
      <c r="BC876" s="25"/>
      <c r="BD876" s="25"/>
      <c r="BE876" s="25"/>
    </row>
    <row r="877" spans="55:57" x14ac:dyDescent="0.25">
      <c r="BC877" s="25"/>
      <c r="BD877" s="25"/>
      <c r="BE877" s="25"/>
    </row>
    <row r="878" spans="55:57" x14ac:dyDescent="0.25">
      <c r="BC878" s="25"/>
      <c r="BD878" s="25"/>
      <c r="BE878" s="25"/>
    </row>
    <row r="879" spans="55:57" x14ac:dyDescent="0.25">
      <c r="BC879" s="25"/>
      <c r="BD879" s="25"/>
      <c r="BE879" s="25"/>
    </row>
    <row r="880" spans="55:57" x14ac:dyDescent="0.25">
      <c r="BC880" s="25"/>
      <c r="BD880" s="25"/>
      <c r="BE880" s="25"/>
    </row>
    <row r="881" spans="55:57" x14ac:dyDescent="0.25">
      <c r="BC881" s="25"/>
      <c r="BD881" s="25"/>
      <c r="BE881" s="25"/>
    </row>
    <row r="882" spans="55:57" x14ac:dyDescent="0.25">
      <c r="BC882" s="25"/>
      <c r="BD882" s="25"/>
      <c r="BE882" s="25"/>
    </row>
    <row r="883" spans="55:57" x14ac:dyDescent="0.25">
      <c r="BC883" s="25"/>
      <c r="BD883" s="25"/>
      <c r="BE883" s="25"/>
    </row>
    <row r="884" spans="55:57" x14ac:dyDescent="0.25">
      <c r="BC884" s="25"/>
      <c r="BD884" s="25"/>
      <c r="BE884" s="25"/>
    </row>
    <row r="885" spans="55:57" x14ac:dyDescent="0.25">
      <c r="BC885" s="25"/>
      <c r="BD885" s="25"/>
      <c r="BE885" s="25"/>
    </row>
    <row r="886" spans="55:57" x14ac:dyDescent="0.25">
      <c r="BC886" s="25"/>
      <c r="BD886" s="25"/>
      <c r="BE886" s="25"/>
    </row>
    <row r="887" spans="55:57" x14ac:dyDescent="0.25">
      <c r="BC887" s="25"/>
      <c r="BD887" s="25"/>
      <c r="BE887" s="25"/>
    </row>
    <row r="888" spans="55:57" x14ac:dyDescent="0.25">
      <c r="BC888" s="25"/>
      <c r="BD888" s="25"/>
      <c r="BE888" s="25"/>
    </row>
    <row r="889" spans="55:57" x14ac:dyDescent="0.25">
      <c r="BC889" s="25"/>
      <c r="BD889" s="25"/>
      <c r="BE889" s="25"/>
    </row>
    <row r="890" spans="55:57" x14ac:dyDescent="0.25">
      <c r="BC890" s="25"/>
      <c r="BD890" s="25"/>
      <c r="BE890" s="25"/>
    </row>
    <row r="891" spans="55:57" x14ac:dyDescent="0.25">
      <c r="BC891" s="25"/>
      <c r="BD891" s="25"/>
      <c r="BE891" s="25"/>
    </row>
    <row r="892" spans="55:57" x14ac:dyDescent="0.25">
      <c r="BC892" s="25"/>
      <c r="BD892" s="25"/>
      <c r="BE892" s="25"/>
    </row>
    <row r="893" spans="55:57" x14ac:dyDescent="0.25">
      <c r="BC893" s="25"/>
      <c r="BD893" s="25"/>
      <c r="BE893" s="25"/>
    </row>
    <row r="894" spans="55:57" x14ac:dyDescent="0.25">
      <c r="BC894" s="25"/>
      <c r="BD894" s="25"/>
      <c r="BE894" s="25"/>
    </row>
    <row r="895" spans="55:57" x14ac:dyDescent="0.25">
      <c r="BC895" s="25"/>
      <c r="BD895" s="25"/>
      <c r="BE895" s="25"/>
    </row>
    <row r="896" spans="55:57" x14ac:dyDescent="0.25">
      <c r="BC896" s="25"/>
      <c r="BD896" s="25"/>
      <c r="BE896" s="25"/>
    </row>
    <row r="897" spans="55:57" x14ac:dyDescent="0.25">
      <c r="BC897" s="25"/>
      <c r="BD897" s="25"/>
      <c r="BE897" s="25"/>
    </row>
    <row r="898" spans="55:57" x14ac:dyDescent="0.25">
      <c r="BC898" s="25"/>
      <c r="BD898" s="25"/>
      <c r="BE898" s="25"/>
    </row>
    <row r="899" spans="55:57" x14ac:dyDescent="0.25">
      <c r="BC899" s="25"/>
      <c r="BD899" s="25"/>
      <c r="BE899" s="25"/>
    </row>
    <row r="900" spans="55:57" x14ac:dyDescent="0.25">
      <c r="BC900" s="25"/>
      <c r="BD900" s="25"/>
      <c r="BE900" s="25"/>
    </row>
    <row r="901" spans="55:57" x14ac:dyDescent="0.25">
      <c r="BC901" s="25"/>
      <c r="BD901" s="25"/>
      <c r="BE901" s="25"/>
    </row>
    <row r="902" spans="55:57" x14ac:dyDescent="0.25">
      <c r="BC902" s="25"/>
      <c r="BD902" s="25"/>
      <c r="BE902" s="25"/>
    </row>
    <row r="903" spans="55:57" x14ac:dyDescent="0.25">
      <c r="BC903" s="25"/>
      <c r="BD903" s="25"/>
      <c r="BE903" s="25"/>
    </row>
    <row r="904" spans="55:57" x14ac:dyDescent="0.25">
      <c r="BC904" s="25"/>
      <c r="BD904" s="25"/>
      <c r="BE904" s="25"/>
    </row>
    <row r="905" spans="55:57" x14ac:dyDescent="0.25">
      <c r="BC905" s="25"/>
      <c r="BD905" s="25"/>
      <c r="BE905" s="25"/>
    </row>
    <row r="906" spans="55:57" x14ac:dyDescent="0.25">
      <c r="BC906" s="25"/>
      <c r="BD906" s="25"/>
      <c r="BE906" s="25"/>
    </row>
    <row r="907" spans="55:57" x14ac:dyDescent="0.25">
      <c r="BC907" s="25"/>
      <c r="BD907" s="25"/>
      <c r="BE907" s="25"/>
    </row>
    <row r="908" spans="55:57" x14ac:dyDescent="0.25">
      <c r="BC908" s="25"/>
      <c r="BD908" s="25"/>
      <c r="BE908" s="25"/>
    </row>
    <row r="909" spans="55:57" x14ac:dyDescent="0.25">
      <c r="BC909" s="25"/>
      <c r="BD909" s="25"/>
      <c r="BE909" s="25"/>
    </row>
    <row r="910" spans="55:57" x14ac:dyDescent="0.25">
      <c r="BC910" s="25"/>
      <c r="BD910" s="25"/>
      <c r="BE910" s="25"/>
    </row>
    <row r="911" spans="55:57" x14ac:dyDescent="0.25">
      <c r="BC911" s="25"/>
      <c r="BD911" s="25"/>
      <c r="BE911" s="25"/>
    </row>
    <row r="912" spans="55:57" x14ac:dyDescent="0.25">
      <c r="BC912" s="25"/>
      <c r="BD912" s="25"/>
      <c r="BE912" s="25"/>
    </row>
    <row r="913" spans="55:57" x14ac:dyDescent="0.25">
      <c r="BC913" s="25"/>
      <c r="BD913" s="25"/>
      <c r="BE913" s="25"/>
    </row>
    <row r="914" spans="55:57" x14ac:dyDescent="0.25">
      <c r="BC914" s="25"/>
      <c r="BD914" s="25"/>
      <c r="BE914" s="25"/>
    </row>
    <row r="915" spans="55:57" x14ac:dyDescent="0.25">
      <c r="BC915" s="25"/>
      <c r="BD915" s="25"/>
      <c r="BE915" s="25"/>
    </row>
    <row r="916" spans="55:57" x14ac:dyDescent="0.25">
      <c r="BC916" s="25"/>
      <c r="BD916" s="25"/>
      <c r="BE916" s="25"/>
    </row>
    <row r="917" spans="55:57" x14ac:dyDescent="0.25">
      <c r="BC917" s="25"/>
      <c r="BD917" s="25"/>
      <c r="BE917" s="25"/>
    </row>
    <row r="918" spans="55:57" x14ac:dyDescent="0.25">
      <c r="BC918" s="25"/>
      <c r="BD918" s="25"/>
      <c r="BE918" s="25"/>
    </row>
    <row r="919" spans="55:57" x14ac:dyDescent="0.25">
      <c r="BC919" s="25"/>
      <c r="BD919" s="25"/>
      <c r="BE919" s="25"/>
    </row>
    <row r="920" spans="55:57" x14ac:dyDescent="0.25">
      <c r="BC920" s="25"/>
      <c r="BD920" s="25"/>
      <c r="BE920" s="25"/>
    </row>
    <row r="921" spans="55:57" x14ac:dyDescent="0.25">
      <c r="BC921" s="25"/>
      <c r="BD921" s="25"/>
      <c r="BE921" s="25"/>
    </row>
    <row r="922" spans="55:57" x14ac:dyDescent="0.25">
      <c r="BC922" s="25"/>
      <c r="BD922" s="25"/>
      <c r="BE922" s="25"/>
    </row>
    <row r="923" spans="55:57" x14ac:dyDescent="0.25">
      <c r="BC923" s="25"/>
      <c r="BD923" s="25"/>
      <c r="BE923" s="25"/>
    </row>
    <row r="924" spans="55:57" x14ac:dyDescent="0.25">
      <c r="BC924" s="25"/>
      <c r="BD924" s="25"/>
      <c r="BE924" s="25"/>
    </row>
    <row r="925" spans="55:57" x14ac:dyDescent="0.25">
      <c r="BC925" s="25"/>
      <c r="BD925" s="25"/>
      <c r="BE925" s="25"/>
    </row>
    <row r="926" spans="55:57" x14ac:dyDescent="0.25">
      <c r="BC926" s="25"/>
      <c r="BD926" s="25"/>
      <c r="BE926" s="25"/>
    </row>
    <row r="927" spans="55:57" x14ac:dyDescent="0.25">
      <c r="BC927" s="25"/>
      <c r="BD927" s="25"/>
      <c r="BE927" s="25"/>
    </row>
    <row r="928" spans="55:57" x14ac:dyDescent="0.25">
      <c r="BC928" s="25"/>
      <c r="BD928" s="25"/>
      <c r="BE928" s="25"/>
    </row>
    <row r="929" spans="55:57" x14ac:dyDescent="0.25">
      <c r="BC929" s="25"/>
      <c r="BD929" s="25"/>
      <c r="BE929" s="25"/>
    </row>
    <row r="930" spans="55:57" x14ac:dyDescent="0.25">
      <c r="BC930" s="25"/>
      <c r="BD930" s="25"/>
      <c r="BE930" s="25"/>
    </row>
    <row r="931" spans="55:57" x14ac:dyDescent="0.25">
      <c r="BC931" s="25"/>
      <c r="BD931" s="25"/>
      <c r="BE931" s="25"/>
    </row>
    <row r="932" spans="55:57" x14ac:dyDescent="0.25">
      <c r="BC932" s="25"/>
      <c r="BD932" s="25"/>
      <c r="BE932" s="25"/>
    </row>
    <row r="933" spans="55:57" x14ac:dyDescent="0.25">
      <c r="BC933" s="25"/>
      <c r="BD933" s="25"/>
      <c r="BE933" s="25"/>
    </row>
    <row r="934" spans="55:57" x14ac:dyDescent="0.25">
      <c r="BC934" s="25"/>
      <c r="BD934" s="25"/>
      <c r="BE934" s="25"/>
    </row>
    <row r="935" spans="55:57" x14ac:dyDescent="0.25">
      <c r="BC935" s="25"/>
      <c r="BD935" s="25"/>
      <c r="BE935" s="25"/>
    </row>
    <row r="936" spans="55:57" x14ac:dyDescent="0.25">
      <c r="BC936" s="25"/>
      <c r="BD936" s="25"/>
      <c r="BE936" s="25"/>
    </row>
    <row r="937" spans="55:57" x14ac:dyDescent="0.25">
      <c r="BC937" s="25"/>
      <c r="BD937" s="25"/>
      <c r="BE937" s="25"/>
    </row>
    <row r="938" spans="55:57" x14ac:dyDescent="0.25">
      <c r="BC938" s="25"/>
      <c r="BD938" s="25"/>
      <c r="BE938" s="25"/>
    </row>
    <row r="939" spans="55:57" x14ac:dyDescent="0.25">
      <c r="BC939" s="25"/>
      <c r="BD939" s="25"/>
      <c r="BE939" s="25"/>
    </row>
    <row r="940" spans="55:57" x14ac:dyDescent="0.25">
      <c r="BC940" s="25"/>
      <c r="BD940" s="25"/>
      <c r="BE940" s="25"/>
    </row>
    <row r="941" spans="55:57" x14ac:dyDescent="0.25">
      <c r="BC941" s="25"/>
      <c r="BD941" s="25"/>
      <c r="BE941" s="25"/>
    </row>
    <row r="942" spans="55:57" x14ac:dyDescent="0.25">
      <c r="BC942" s="25"/>
      <c r="BD942" s="25"/>
      <c r="BE942" s="25"/>
    </row>
    <row r="943" spans="55:57" x14ac:dyDescent="0.25">
      <c r="BC943" s="25"/>
      <c r="BD943" s="25"/>
      <c r="BE943" s="25"/>
    </row>
    <row r="944" spans="55:57" x14ac:dyDescent="0.25">
      <c r="BC944" s="25"/>
      <c r="BD944" s="25"/>
      <c r="BE944" s="25"/>
    </row>
    <row r="945" spans="55:57" x14ac:dyDescent="0.25">
      <c r="BC945" s="25"/>
      <c r="BD945" s="25"/>
      <c r="BE945" s="25"/>
    </row>
    <row r="946" spans="55:57" x14ac:dyDescent="0.25">
      <c r="BC946" s="25"/>
      <c r="BD946" s="25"/>
      <c r="BE946" s="25"/>
    </row>
    <row r="947" spans="55:57" x14ac:dyDescent="0.25">
      <c r="BC947" s="25"/>
      <c r="BD947" s="25"/>
      <c r="BE947" s="25"/>
    </row>
    <row r="948" spans="55:57" x14ac:dyDescent="0.25">
      <c r="BC948" s="25"/>
      <c r="BD948" s="25"/>
      <c r="BE948" s="25"/>
    </row>
    <row r="949" spans="55:57" x14ac:dyDescent="0.25">
      <c r="BC949" s="25"/>
      <c r="BD949" s="25"/>
      <c r="BE949" s="25"/>
    </row>
    <row r="950" spans="55:57" x14ac:dyDescent="0.25">
      <c r="BC950" s="25"/>
      <c r="BD950" s="25"/>
      <c r="BE950" s="25"/>
    </row>
    <row r="951" spans="55:57" x14ac:dyDescent="0.25">
      <c r="BC951" s="25"/>
      <c r="BD951" s="25"/>
      <c r="BE951" s="25"/>
    </row>
    <row r="952" spans="55:57" x14ac:dyDescent="0.25">
      <c r="BC952" s="25"/>
      <c r="BD952" s="25"/>
      <c r="BE952" s="25"/>
    </row>
    <row r="953" spans="55:57" x14ac:dyDescent="0.25">
      <c r="BC953" s="25"/>
      <c r="BD953" s="25"/>
      <c r="BE953" s="25"/>
    </row>
    <row r="954" spans="55:57" x14ac:dyDescent="0.25">
      <c r="BC954" s="25"/>
      <c r="BD954" s="25"/>
      <c r="BE954" s="25"/>
    </row>
    <row r="955" spans="55:57" x14ac:dyDescent="0.25">
      <c r="BC955" s="25"/>
      <c r="BD955" s="25"/>
      <c r="BE955" s="25"/>
    </row>
    <row r="956" spans="55:57" x14ac:dyDescent="0.25">
      <c r="BC956" s="25"/>
      <c r="BD956" s="25"/>
      <c r="BE956" s="25"/>
    </row>
    <row r="957" spans="55:57" x14ac:dyDescent="0.25">
      <c r="BC957" s="25"/>
      <c r="BD957" s="25"/>
      <c r="BE957" s="25"/>
    </row>
    <row r="958" spans="55:57" x14ac:dyDescent="0.25">
      <c r="BC958" s="25"/>
      <c r="BD958" s="25"/>
      <c r="BE958" s="25"/>
    </row>
    <row r="959" spans="55:57" x14ac:dyDescent="0.25">
      <c r="BC959" s="25"/>
      <c r="BD959" s="25"/>
      <c r="BE959" s="25"/>
    </row>
    <row r="960" spans="55:57" x14ac:dyDescent="0.25">
      <c r="BC960" s="25"/>
      <c r="BD960" s="25"/>
      <c r="BE960" s="25"/>
    </row>
    <row r="961" spans="55:57" x14ac:dyDescent="0.25">
      <c r="BC961" s="25"/>
      <c r="BD961" s="25"/>
      <c r="BE961" s="25"/>
    </row>
    <row r="962" spans="55:57" x14ac:dyDescent="0.25">
      <c r="BC962" s="25"/>
      <c r="BD962" s="25"/>
      <c r="BE962" s="25"/>
    </row>
    <row r="963" spans="55:57" x14ac:dyDescent="0.25">
      <c r="BC963" s="25"/>
      <c r="BD963" s="25"/>
      <c r="BE963" s="25"/>
    </row>
    <row r="964" spans="55:57" x14ac:dyDescent="0.25">
      <c r="BC964" s="25"/>
      <c r="BD964" s="25"/>
      <c r="BE964" s="25"/>
    </row>
    <row r="965" spans="55:57" x14ac:dyDescent="0.25">
      <c r="BC965" s="25"/>
      <c r="BD965" s="25"/>
      <c r="BE965" s="25"/>
    </row>
    <row r="966" spans="55:57" x14ac:dyDescent="0.25">
      <c r="BC966" s="25"/>
      <c r="BD966" s="25"/>
      <c r="BE966" s="25"/>
    </row>
    <row r="967" spans="55:57" x14ac:dyDescent="0.25">
      <c r="BC967" s="25"/>
      <c r="BD967" s="25"/>
      <c r="BE967" s="25"/>
    </row>
    <row r="968" spans="55:57" x14ac:dyDescent="0.25">
      <c r="BC968" s="25"/>
      <c r="BD968" s="25"/>
      <c r="BE968" s="25"/>
    </row>
    <row r="969" spans="55:57" x14ac:dyDescent="0.25">
      <c r="BC969" s="25"/>
      <c r="BD969" s="25"/>
      <c r="BE969" s="25"/>
    </row>
    <row r="970" spans="55:57" x14ac:dyDescent="0.25">
      <c r="BC970" s="25"/>
      <c r="BD970" s="25"/>
      <c r="BE970" s="25"/>
    </row>
    <row r="971" spans="55:57" x14ac:dyDescent="0.25">
      <c r="BC971" s="25"/>
      <c r="BD971" s="25"/>
      <c r="BE971" s="25"/>
    </row>
    <row r="972" spans="55:57" x14ac:dyDescent="0.25">
      <c r="BC972" s="25"/>
      <c r="BD972" s="25"/>
      <c r="BE972" s="25"/>
    </row>
    <row r="973" spans="55:57" x14ac:dyDescent="0.25">
      <c r="BC973" s="25"/>
      <c r="BD973" s="25"/>
      <c r="BE973" s="25"/>
    </row>
    <row r="974" spans="55:57" x14ac:dyDescent="0.25">
      <c r="BC974" s="25"/>
      <c r="BD974" s="25"/>
      <c r="BE974" s="25"/>
    </row>
    <row r="975" spans="55:57" x14ac:dyDescent="0.25">
      <c r="BC975" s="25"/>
      <c r="BD975" s="25"/>
      <c r="BE975" s="25"/>
    </row>
    <row r="976" spans="55:57" x14ac:dyDescent="0.25">
      <c r="BC976" s="25"/>
      <c r="BD976" s="25"/>
      <c r="BE976" s="25"/>
    </row>
    <row r="977" spans="55:57" x14ac:dyDescent="0.25">
      <c r="BC977" s="25"/>
      <c r="BD977" s="25"/>
      <c r="BE977" s="25"/>
    </row>
    <row r="978" spans="55:57" x14ac:dyDescent="0.25">
      <c r="BC978" s="25"/>
      <c r="BD978" s="25"/>
      <c r="BE978" s="25"/>
    </row>
    <row r="979" spans="55:57" x14ac:dyDescent="0.25">
      <c r="BC979" s="25"/>
      <c r="BD979" s="25"/>
      <c r="BE979" s="25"/>
    </row>
    <row r="980" spans="55:57" x14ac:dyDescent="0.25">
      <c r="BC980" s="25"/>
      <c r="BD980" s="25"/>
      <c r="BE980" s="25"/>
    </row>
    <row r="981" spans="55:57" x14ac:dyDescent="0.25">
      <c r="BC981" s="25"/>
      <c r="BD981" s="25"/>
      <c r="BE981" s="25"/>
    </row>
    <row r="982" spans="55:57" x14ac:dyDescent="0.25">
      <c r="BC982" s="25"/>
      <c r="BD982" s="25"/>
      <c r="BE982" s="25"/>
    </row>
    <row r="983" spans="55:57" x14ac:dyDescent="0.25">
      <c r="BC983" s="25"/>
      <c r="BD983" s="25"/>
      <c r="BE983" s="25"/>
    </row>
    <row r="984" spans="55:57" x14ac:dyDescent="0.25">
      <c r="BC984" s="25"/>
      <c r="BD984" s="25"/>
      <c r="BE984" s="25"/>
    </row>
    <row r="985" spans="55:57" x14ac:dyDescent="0.25">
      <c r="BC985" s="25"/>
      <c r="BD985" s="25"/>
      <c r="BE985" s="25"/>
    </row>
    <row r="986" spans="55:57" x14ac:dyDescent="0.25">
      <c r="BC986" s="25"/>
      <c r="BD986" s="25"/>
      <c r="BE986" s="25"/>
    </row>
    <row r="987" spans="55:57" x14ac:dyDescent="0.25">
      <c r="BC987" s="25"/>
      <c r="BD987" s="25"/>
      <c r="BE987" s="25"/>
    </row>
    <row r="988" spans="55:57" x14ac:dyDescent="0.25">
      <c r="BC988" s="25"/>
      <c r="BD988" s="25"/>
      <c r="BE988" s="25"/>
    </row>
    <row r="989" spans="55:57" x14ac:dyDescent="0.25">
      <c r="BC989" s="25"/>
      <c r="BD989" s="25"/>
      <c r="BE989" s="25"/>
    </row>
    <row r="990" spans="55:57" x14ac:dyDescent="0.25">
      <c r="BC990" s="25"/>
      <c r="BD990" s="25"/>
      <c r="BE990" s="25"/>
    </row>
    <row r="991" spans="55:57" x14ac:dyDescent="0.25">
      <c r="BC991" s="25"/>
      <c r="BD991" s="25"/>
      <c r="BE991" s="25"/>
    </row>
    <row r="992" spans="55:57" x14ac:dyDescent="0.25">
      <c r="BC992" s="25"/>
      <c r="BD992" s="25"/>
      <c r="BE992" s="25"/>
    </row>
    <row r="993" spans="55:57" x14ac:dyDescent="0.25">
      <c r="BC993" s="25"/>
      <c r="BD993" s="25"/>
      <c r="BE993" s="25"/>
    </row>
    <row r="994" spans="55:57" x14ac:dyDescent="0.25">
      <c r="BC994" s="25"/>
      <c r="BD994" s="25"/>
      <c r="BE994" s="25"/>
    </row>
    <row r="995" spans="55:57" x14ac:dyDescent="0.25">
      <c r="BC995" s="25"/>
      <c r="BD995" s="25"/>
      <c r="BE995" s="25"/>
    </row>
    <row r="996" spans="55:57" x14ac:dyDescent="0.25">
      <c r="BC996" s="25"/>
      <c r="BD996" s="25"/>
      <c r="BE996" s="25"/>
    </row>
    <row r="997" spans="55:57" x14ac:dyDescent="0.25">
      <c r="BC997" s="25"/>
      <c r="BD997" s="25"/>
      <c r="BE997" s="25"/>
    </row>
    <row r="998" spans="55:57" x14ac:dyDescent="0.25">
      <c r="BC998" s="25"/>
      <c r="BD998" s="25"/>
      <c r="BE998" s="25"/>
    </row>
    <row r="999" spans="55:57" x14ac:dyDescent="0.25">
      <c r="BC999" s="25"/>
      <c r="BD999" s="25"/>
      <c r="BE999" s="25"/>
    </row>
    <row r="1000" spans="55:57" x14ac:dyDescent="0.25">
      <c r="BC1000" s="25"/>
      <c r="BD1000" s="25"/>
      <c r="BE1000" s="25"/>
    </row>
    <row r="1001" spans="55:57" x14ac:dyDescent="0.25">
      <c r="BC1001" s="25"/>
      <c r="BD1001" s="25"/>
      <c r="BE1001" s="25"/>
    </row>
    <row r="1002" spans="55:57" x14ac:dyDescent="0.25">
      <c r="BC1002" s="25"/>
      <c r="BD1002" s="25"/>
      <c r="BE1002" s="25"/>
    </row>
    <row r="1003" spans="55:57" x14ac:dyDescent="0.25">
      <c r="BC1003" s="25"/>
      <c r="BD1003" s="25"/>
      <c r="BE1003" s="25"/>
    </row>
    <row r="1004" spans="55:57" x14ac:dyDescent="0.25">
      <c r="BC1004" s="25"/>
      <c r="BD1004" s="25"/>
      <c r="BE1004" s="25"/>
    </row>
    <row r="1005" spans="55:57" x14ac:dyDescent="0.25">
      <c r="BC1005" s="25"/>
      <c r="BD1005" s="25"/>
      <c r="BE1005" s="25"/>
    </row>
    <row r="1006" spans="55:57" x14ac:dyDescent="0.25">
      <c r="BC1006" s="25"/>
      <c r="BD1006" s="25"/>
      <c r="BE1006" s="25"/>
    </row>
    <row r="1007" spans="55:57" x14ac:dyDescent="0.25">
      <c r="BC1007" s="25"/>
      <c r="BD1007" s="25"/>
      <c r="BE1007" s="25"/>
    </row>
    <row r="1008" spans="55:57" x14ac:dyDescent="0.25">
      <c r="BC1008" s="25"/>
      <c r="BD1008" s="25"/>
      <c r="BE1008" s="25"/>
    </row>
    <row r="1009" spans="55:57" x14ac:dyDescent="0.25">
      <c r="BC1009" s="25"/>
      <c r="BD1009" s="25"/>
      <c r="BE1009" s="25"/>
    </row>
    <row r="1010" spans="55:57" x14ac:dyDescent="0.25">
      <c r="BC1010" s="25"/>
      <c r="BD1010" s="25"/>
      <c r="BE1010" s="25"/>
    </row>
    <row r="1011" spans="55:57" x14ac:dyDescent="0.25">
      <c r="BC1011" s="25"/>
      <c r="BD1011" s="25"/>
      <c r="BE1011" s="25"/>
    </row>
    <row r="1012" spans="55:57" x14ac:dyDescent="0.25">
      <c r="BC1012" s="25"/>
      <c r="BD1012" s="25"/>
      <c r="BE1012" s="25"/>
    </row>
    <row r="1013" spans="55:57" x14ac:dyDescent="0.25">
      <c r="BC1013" s="25"/>
      <c r="BD1013" s="25"/>
      <c r="BE1013" s="25"/>
    </row>
    <row r="1014" spans="55:57" x14ac:dyDescent="0.25">
      <c r="BC1014" s="25"/>
      <c r="BD1014" s="25"/>
      <c r="BE1014" s="25"/>
    </row>
    <row r="1015" spans="55:57" x14ac:dyDescent="0.25">
      <c r="BC1015" s="25"/>
      <c r="BD1015" s="25"/>
      <c r="BE1015" s="25"/>
    </row>
    <row r="1016" spans="55:57" x14ac:dyDescent="0.25">
      <c r="BC1016" s="25"/>
      <c r="BD1016" s="25"/>
      <c r="BE1016" s="25"/>
    </row>
    <row r="1017" spans="55:57" x14ac:dyDescent="0.25">
      <c r="BC1017" s="25"/>
      <c r="BD1017" s="25"/>
      <c r="BE1017" s="25"/>
    </row>
    <row r="1018" spans="55:57" x14ac:dyDescent="0.25">
      <c r="BC1018" s="25"/>
      <c r="BD1018" s="25"/>
      <c r="BE1018" s="25"/>
    </row>
    <row r="1019" spans="55:57" x14ac:dyDescent="0.25">
      <c r="BC1019" s="25"/>
      <c r="BD1019" s="25"/>
      <c r="BE1019" s="25"/>
    </row>
    <row r="1020" spans="55:57" x14ac:dyDescent="0.25">
      <c r="BC1020" s="25"/>
      <c r="BD1020" s="25"/>
      <c r="BE1020" s="25"/>
    </row>
    <row r="1021" spans="55:57" x14ac:dyDescent="0.25">
      <c r="BC1021" s="25"/>
      <c r="BD1021" s="25"/>
      <c r="BE1021" s="25"/>
    </row>
    <row r="1022" spans="55:57" x14ac:dyDescent="0.25">
      <c r="BC1022" s="25"/>
      <c r="BD1022" s="25"/>
      <c r="BE1022" s="25"/>
    </row>
    <row r="1023" spans="55:57" x14ac:dyDescent="0.25">
      <c r="BC1023" s="25"/>
      <c r="BD1023" s="25"/>
      <c r="BE1023" s="25"/>
    </row>
    <row r="1024" spans="55:57" x14ac:dyDescent="0.25">
      <c r="BC1024" s="25"/>
      <c r="BD1024" s="25"/>
      <c r="BE1024" s="25"/>
    </row>
    <row r="1025" spans="55:57" x14ac:dyDescent="0.25">
      <c r="BC1025" s="25"/>
      <c r="BD1025" s="25"/>
      <c r="BE1025" s="25"/>
    </row>
    <row r="1026" spans="55:57" x14ac:dyDescent="0.25">
      <c r="BC1026" s="25"/>
      <c r="BD1026" s="25"/>
      <c r="BE1026" s="25"/>
    </row>
    <row r="1027" spans="55:57" x14ac:dyDescent="0.25">
      <c r="BC1027" s="25"/>
      <c r="BD1027" s="25"/>
      <c r="BE1027" s="25"/>
    </row>
    <row r="1028" spans="55:57" x14ac:dyDescent="0.25">
      <c r="BC1028" s="25"/>
      <c r="BD1028" s="25"/>
      <c r="BE1028" s="25"/>
    </row>
    <row r="1029" spans="55:57" x14ac:dyDescent="0.25">
      <c r="BC1029" s="25"/>
      <c r="BD1029" s="25"/>
      <c r="BE1029" s="25"/>
    </row>
    <row r="1030" spans="55:57" x14ac:dyDescent="0.25">
      <c r="BC1030" s="25"/>
      <c r="BD1030" s="25"/>
      <c r="BE1030" s="25"/>
    </row>
    <row r="1031" spans="55:57" x14ac:dyDescent="0.25">
      <c r="BC1031" s="25"/>
      <c r="BD1031" s="25"/>
      <c r="BE1031" s="25"/>
    </row>
    <row r="1032" spans="55:57" x14ac:dyDescent="0.25">
      <c r="BC1032" s="25"/>
      <c r="BD1032" s="25"/>
      <c r="BE1032" s="25"/>
    </row>
    <row r="1033" spans="55:57" x14ac:dyDescent="0.25">
      <c r="BC1033" s="25"/>
      <c r="BD1033" s="25"/>
      <c r="BE1033" s="25"/>
    </row>
    <row r="1034" spans="55:57" x14ac:dyDescent="0.25">
      <c r="BC1034" s="25"/>
      <c r="BD1034" s="25"/>
      <c r="BE1034" s="25"/>
    </row>
    <row r="1035" spans="55:57" x14ac:dyDescent="0.25">
      <c r="BC1035" s="25"/>
      <c r="BD1035" s="25"/>
      <c r="BE1035" s="25"/>
    </row>
    <row r="1036" spans="55:57" x14ac:dyDescent="0.25">
      <c r="BC1036" s="25"/>
      <c r="BD1036" s="25"/>
      <c r="BE1036" s="25"/>
    </row>
    <row r="1037" spans="55:57" x14ac:dyDescent="0.25">
      <c r="BC1037" s="25"/>
      <c r="BD1037" s="25"/>
      <c r="BE1037" s="25"/>
    </row>
    <row r="1038" spans="55:57" x14ac:dyDescent="0.25">
      <c r="BC1038" s="25"/>
      <c r="BD1038" s="25"/>
      <c r="BE1038" s="25"/>
    </row>
    <row r="1039" spans="55:57" x14ac:dyDescent="0.25">
      <c r="BC1039" s="25"/>
      <c r="BD1039" s="25"/>
      <c r="BE1039" s="25"/>
    </row>
    <row r="1040" spans="55:57" x14ac:dyDescent="0.25">
      <c r="BC1040" s="25"/>
      <c r="BD1040" s="25"/>
      <c r="BE1040" s="25"/>
    </row>
    <row r="1041" spans="55:57" x14ac:dyDescent="0.25">
      <c r="BC1041" s="25"/>
      <c r="BD1041" s="25"/>
      <c r="BE1041" s="25"/>
    </row>
    <row r="1042" spans="55:57" x14ac:dyDescent="0.25">
      <c r="BC1042" s="25"/>
      <c r="BD1042" s="25"/>
      <c r="BE1042" s="25"/>
    </row>
    <row r="1043" spans="55:57" x14ac:dyDescent="0.25">
      <c r="BC1043" s="25"/>
      <c r="BD1043" s="25"/>
      <c r="BE1043" s="25"/>
    </row>
    <row r="1044" spans="55:57" x14ac:dyDescent="0.25">
      <c r="BC1044" s="25"/>
      <c r="BD1044" s="25"/>
      <c r="BE1044" s="25"/>
    </row>
    <row r="1045" spans="55:57" x14ac:dyDescent="0.25">
      <c r="BC1045" s="25"/>
      <c r="BD1045" s="25"/>
      <c r="BE1045" s="25"/>
    </row>
    <row r="1046" spans="55:57" x14ac:dyDescent="0.25">
      <c r="BC1046" s="25"/>
      <c r="BD1046" s="25"/>
      <c r="BE1046" s="25"/>
    </row>
    <row r="1047" spans="55:57" x14ac:dyDescent="0.25">
      <c r="BC1047" s="25"/>
      <c r="BD1047" s="25"/>
      <c r="BE1047" s="25"/>
    </row>
    <row r="1048" spans="55:57" x14ac:dyDescent="0.25">
      <c r="BC1048" s="25"/>
      <c r="BD1048" s="25"/>
      <c r="BE1048" s="25"/>
    </row>
    <row r="1049" spans="55:57" x14ac:dyDescent="0.25">
      <c r="BC1049" s="25"/>
      <c r="BD1049" s="25"/>
      <c r="BE1049" s="25"/>
    </row>
    <row r="1050" spans="55:57" x14ac:dyDescent="0.25">
      <c r="BC1050" s="25"/>
      <c r="BD1050" s="25"/>
      <c r="BE1050" s="25"/>
    </row>
    <row r="1051" spans="55:57" x14ac:dyDescent="0.25">
      <c r="BC1051" s="25"/>
      <c r="BD1051" s="25"/>
      <c r="BE1051" s="25"/>
    </row>
    <row r="1052" spans="55:57" x14ac:dyDescent="0.25">
      <c r="BC1052" s="25"/>
      <c r="BD1052" s="25"/>
      <c r="BE1052" s="25"/>
    </row>
    <row r="1053" spans="55:57" x14ac:dyDescent="0.25">
      <c r="BC1053" s="25"/>
      <c r="BD1053" s="25"/>
      <c r="BE1053" s="25"/>
    </row>
    <row r="1054" spans="55:57" x14ac:dyDescent="0.25">
      <c r="BC1054" s="25"/>
      <c r="BD1054" s="25"/>
      <c r="BE1054" s="25"/>
    </row>
    <row r="1055" spans="55:57" x14ac:dyDescent="0.25">
      <c r="BC1055" s="25"/>
      <c r="BD1055" s="25"/>
      <c r="BE1055" s="25"/>
    </row>
    <row r="1056" spans="55:57" x14ac:dyDescent="0.25">
      <c r="BC1056" s="25"/>
      <c r="BD1056" s="25"/>
      <c r="BE1056" s="25"/>
    </row>
    <row r="1057" spans="55:57" x14ac:dyDescent="0.25">
      <c r="BC1057" s="25"/>
      <c r="BD1057" s="25"/>
      <c r="BE1057" s="25"/>
    </row>
    <row r="1058" spans="55:57" x14ac:dyDescent="0.25">
      <c r="BC1058" s="25"/>
      <c r="BD1058" s="25"/>
      <c r="BE1058" s="25"/>
    </row>
    <row r="1059" spans="55:57" x14ac:dyDescent="0.25">
      <c r="BC1059" s="25"/>
      <c r="BD1059" s="25"/>
      <c r="BE1059" s="25"/>
    </row>
    <row r="1060" spans="55:57" x14ac:dyDescent="0.25">
      <c r="BC1060" s="25"/>
      <c r="BD1060" s="25"/>
      <c r="BE1060" s="25"/>
    </row>
    <row r="1061" spans="55:57" x14ac:dyDescent="0.25">
      <c r="BC1061" s="25"/>
      <c r="BD1061" s="25"/>
      <c r="BE1061" s="25"/>
    </row>
    <row r="1062" spans="55:57" x14ac:dyDescent="0.25">
      <c r="BC1062" s="25"/>
      <c r="BD1062" s="25"/>
      <c r="BE1062" s="25"/>
    </row>
    <row r="1063" spans="55:57" x14ac:dyDescent="0.25">
      <c r="BC1063" s="25"/>
      <c r="BD1063" s="25"/>
      <c r="BE1063" s="25"/>
    </row>
    <row r="1064" spans="55:57" x14ac:dyDescent="0.25">
      <c r="BC1064" s="25"/>
      <c r="BD1064" s="25"/>
      <c r="BE1064" s="25"/>
    </row>
    <row r="1065" spans="55:57" x14ac:dyDescent="0.25">
      <c r="BC1065" s="25"/>
      <c r="BD1065" s="25"/>
      <c r="BE1065" s="25"/>
    </row>
    <row r="1066" spans="55:57" x14ac:dyDescent="0.25">
      <c r="BC1066" s="25"/>
      <c r="BD1066" s="25"/>
      <c r="BE1066" s="25"/>
    </row>
    <row r="1067" spans="55:57" x14ac:dyDescent="0.25">
      <c r="BC1067" s="25"/>
      <c r="BD1067" s="25"/>
      <c r="BE1067" s="25"/>
    </row>
    <row r="1068" spans="55:57" x14ac:dyDescent="0.25">
      <c r="BC1068" s="25"/>
      <c r="BD1068" s="25"/>
      <c r="BE1068" s="25"/>
    </row>
    <row r="1069" spans="55:57" x14ac:dyDescent="0.25">
      <c r="BC1069" s="25"/>
      <c r="BD1069" s="25"/>
      <c r="BE1069" s="25"/>
    </row>
    <row r="1070" spans="55:57" x14ac:dyDescent="0.25">
      <c r="BC1070" s="25"/>
      <c r="BD1070" s="25"/>
      <c r="BE1070" s="25"/>
    </row>
    <row r="1071" spans="55:57" x14ac:dyDescent="0.25">
      <c r="BC1071" s="25"/>
      <c r="BD1071" s="25"/>
      <c r="BE1071" s="25"/>
    </row>
    <row r="1072" spans="55:57" x14ac:dyDescent="0.25">
      <c r="BC1072" s="25"/>
      <c r="BD1072" s="25"/>
      <c r="BE1072" s="25"/>
    </row>
    <row r="1073" spans="55:57" x14ac:dyDescent="0.25">
      <c r="BC1073" s="25"/>
      <c r="BD1073" s="25"/>
      <c r="BE1073" s="25"/>
    </row>
    <row r="1074" spans="55:57" x14ac:dyDescent="0.25">
      <c r="BC1074" s="25"/>
      <c r="BD1074" s="25"/>
      <c r="BE1074" s="25"/>
    </row>
    <row r="1075" spans="55:57" x14ac:dyDescent="0.25">
      <c r="BC1075" s="25"/>
      <c r="BD1075" s="25"/>
      <c r="BE1075" s="25"/>
    </row>
    <row r="1076" spans="55:57" x14ac:dyDescent="0.25">
      <c r="BC1076" s="25"/>
      <c r="BD1076" s="25"/>
      <c r="BE1076" s="25"/>
    </row>
    <row r="1077" spans="55:57" x14ac:dyDescent="0.25">
      <c r="BC1077" s="25"/>
      <c r="BD1077" s="25"/>
      <c r="BE1077" s="25"/>
    </row>
    <row r="1078" spans="55:57" x14ac:dyDescent="0.25">
      <c r="BC1078" s="25"/>
      <c r="BD1078" s="25"/>
      <c r="BE1078" s="25"/>
    </row>
    <row r="1079" spans="55:57" x14ac:dyDescent="0.25">
      <c r="BC1079" s="25"/>
      <c r="BD1079" s="25"/>
      <c r="BE1079" s="25"/>
    </row>
    <row r="1080" spans="55:57" x14ac:dyDescent="0.25">
      <c r="BC1080" s="25"/>
      <c r="BD1080" s="25"/>
      <c r="BE1080" s="25"/>
    </row>
    <row r="1081" spans="55:57" x14ac:dyDescent="0.25">
      <c r="BC1081" s="25"/>
      <c r="BD1081" s="25"/>
      <c r="BE1081" s="25"/>
    </row>
    <row r="1082" spans="55:57" x14ac:dyDescent="0.25">
      <c r="BC1082" s="25"/>
      <c r="BD1082" s="25"/>
      <c r="BE1082" s="25"/>
    </row>
    <row r="1083" spans="55:57" x14ac:dyDescent="0.25">
      <c r="BC1083" s="25"/>
      <c r="BD1083" s="25"/>
      <c r="BE1083" s="25"/>
    </row>
    <row r="1084" spans="55:57" x14ac:dyDescent="0.25">
      <c r="BC1084" s="25"/>
      <c r="BD1084" s="25"/>
      <c r="BE1084" s="25"/>
    </row>
    <row r="1085" spans="55:57" x14ac:dyDescent="0.25">
      <c r="BC1085" s="25"/>
      <c r="BD1085" s="25"/>
      <c r="BE1085" s="25"/>
    </row>
    <row r="1086" spans="55:57" x14ac:dyDescent="0.25">
      <c r="BC1086" s="25"/>
      <c r="BD1086" s="25"/>
      <c r="BE1086" s="25"/>
    </row>
    <row r="1087" spans="55:57" x14ac:dyDescent="0.25">
      <c r="BC1087" s="25"/>
      <c r="BD1087" s="25"/>
      <c r="BE1087" s="25"/>
    </row>
    <row r="1088" spans="55:57" x14ac:dyDescent="0.25">
      <c r="BC1088" s="25"/>
      <c r="BD1088" s="25"/>
      <c r="BE1088" s="25"/>
    </row>
    <row r="1089" spans="55:57" x14ac:dyDescent="0.25">
      <c r="BC1089" s="25"/>
      <c r="BD1089" s="25"/>
      <c r="BE1089" s="25"/>
    </row>
    <row r="1090" spans="55:57" x14ac:dyDescent="0.25">
      <c r="BC1090" s="25"/>
      <c r="BD1090" s="25"/>
      <c r="BE1090" s="25"/>
    </row>
    <row r="1091" spans="55:57" x14ac:dyDescent="0.25">
      <c r="BC1091" s="25"/>
      <c r="BD1091" s="25"/>
      <c r="BE1091" s="25"/>
    </row>
    <row r="1092" spans="55:57" x14ac:dyDescent="0.25">
      <c r="BC1092" s="25"/>
      <c r="BD1092" s="25"/>
      <c r="BE1092" s="25"/>
    </row>
    <row r="1093" spans="55:57" x14ac:dyDescent="0.25">
      <c r="BC1093" s="25"/>
      <c r="BD1093" s="25"/>
      <c r="BE1093" s="25"/>
    </row>
    <row r="1094" spans="55:57" x14ac:dyDescent="0.25">
      <c r="BC1094" s="25"/>
      <c r="BD1094" s="25"/>
      <c r="BE1094" s="25"/>
    </row>
    <row r="1095" spans="55:57" x14ac:dyDescent="0.25">
      <c r="BC1095" s="25"/>
      <c r="BD1095" s="25"/>
      <c r="BE1095" s="25"/>
    </row>
    <row r="1096" spans="55:57" x14ac:dyDescent="0.25">
      <c r="BC1096" s="25"/>
      <c r="BD1096" s="25"/>
      <c r="BE1096" s="25"/>
    </row>
    <row r="1097" spans="55:57" x14ac:dyDescent="0.25">
      <c r="BC1097" s="25"/>
      <c r="BD1097" s="25"/>
      <c r="BE1097" s="25"/>
    </row>
    <row r="1098" spans="55:57" x14ac:dyDescent="0.25">
      <c r="BC1098" s="25"/>
      <c r="BD1098" s="25"/>
      <c r="BE1098" s="25"/>
    </row>
    <row r="1099" spans="55:57" x14ac:dyDescent="0.25">
      <c r="BC1099" s="25"/>
      <c r="BD1099" s="25"/>
      <c r="BE1099" s="25"/>
    </row>
    <row r="1100" spans="55:57" x14ac:dyDescent="0.25">
      <c r="BC1100" s="25"/>
      <c r="BD1100" s="25"/>
      <c r="BE1100" s="25"/>
    </row>
    <row r="1101" spans="55:57" x14ac:dyDescent="0.25">
      <c r="BC1101" s="25"/>
      <c r="BD1101" s="25"/>
      <c r="BE1101" s="25"/>
    </row>
    <row r="1102" spans="55:57" x14ac:dyDescent="0.25">
      <c r="BC1102" s="25"/>
      <c r="BD1102" s="25"/>
      <c r="BE1102" s="25"/>
    </row>
    <row r="1103" spans="55:57" x14ac:dyDescent="0.25">
      <c r="BC1103" s="25"/>
      <c r="BD1103" s="25"/>
      <c r="BE1103" s="25"/>
    </row>
    <row r="1104" spans="55:57" x14ac:dyDescent="0.25">
      <c r="BC1104" s="25"/>
      <c r="BD1104" s="25"/>
      <c r="BE1104" s="25"/>
    </row>
    <row r="1105" spans="55:57" x14ac:dyDescent="0.25">
      <c r="BC1105" s="25"/>
      <c r="BD1105" s="25"/>
      <c r="BE1105" s="25"/>
    </row>
    <row r="1106" spans="55:57" x14ac:dyDescent="0.25">
      <c r="BC1106" s="25"/>
      <c r="BD1106" s="25"/>
      <c r="BE1106" s="25"/>
    </row>
    <row r="1107" spans="55:57" x14ac:dyDescent="0.25">
      <c r="BC1107" s="25"/>
      <c r="BD1107" s="25"/>
      <c r="BE1107" s="25"/>
    </row>
    <row r="1108" spans="55:57" x14ac:dyDescent="0.25">
      <c r="BC1108" s="25"/>
      <c r="BD1108" s="25"/>
      <c r="BE1108" s="25"/>
    </row>
    <row r="1109" spans="55:57" x14ac:dyDescent="0.25">
      <c r="BC1109" s="25"/>
      <c r="BD1109" s="25"/>
      <c r="BE1109" s="25"/>
    </row>
    <row r="1110" spans="55:57" x14ac:dyDescent="0.25">
      <c r="BC1110" s="25"/>
      <c r="BD1110" s="25"/>
      <c r="BE1110" s="25"/>
    </row>
    <row r="1111" spans="55:57" x14ac:dyDescent="0.25">
      <c r="BC1111" s="25"/>
      <c r="BD1111" s="25"/>
      <c r="BE1111" s="25"/>
    </row>
    <row r="1112" spans="55:57" x14ac:dyDescent="0.25">
      <c r="BC1112" s="25"/>
      <c r="BD1112" s="25"/>
      <c r="BE1112" s="25"/>
    </row>
    <row r="1113" spans="55:57" x14ac:dyDescent="0.25">
      <c r="BC1113" s="25"/>
      <c r="BD1113" s="25"/>
      <c r="BE1113" s="25"/>
    </row>
    <row r="1114" spans="55:57" x14ac:dyDescent="0.25">
      <c r="BC1114" s="25"/>
      <c r="BD1114" s="25"/>
      <c r="BE1114" s="25"/>
    </row>
    <row r="1115" spans="55:57" x14ac:dyDescent="0.25">
      <c r="BC1115" s="25"/>
      <c r="BD1115" s="25"/>
      <c r="BE1115" s="25"/>
    </row>
    <row r="1116" spans="55:57" x14ac:dyDescent="0.25">
      <c r="BC1116" s="25"/>
      <c r="BD1116" s="25"/>
      <c r="BE1116" s="25"/>
    </row>
    <row r="1117" spans="55:57" x14ac:dyDescent="0.25">
      <c r="BC1117" s="25"/>
      <c r="BD1117" s="25"/>
      <c r="BE1117" s="25"/>
    </row>
    <row r="1118" spans="55:57" x14ac:dyDescent="0.25">
      <c r="BC1118" s="25"/>
      <c r="BD1118" s="25"/>
      <c r="BE1118" s="25"/>
    </row>
    <row r="1119" spans="55:57" x14ac:dyDescent="0.25">
      <c r="BC1119" s="25"/>
      <c r="BD1119" s="25"/>
      <c r="BE1119" s="25"/>
    </row>
    <row r="1120" spans="55:57" x14ac:dyDescent="0.25">
      <c r="BC1120" s="25"/>
      <c r="BD1120" s="25"/>
      <c r="BE1120" s="25"/>
    </row>
    <row r="1121" spans="55:57" x14ac:dyDescent="0.25">
      <c r="BC1121" s="25"/>
      <c r="BD1121" s="25"/>
      <c r="BE1121" s="25"/>
    </row>
    <row r="1122" spans="55:57" x14ac:dyDescent="0.25">
      <c r="BC1122" s="25"/>
      <c r="BD1122" s="25"/>
      <c r="BE1122" s="25"/>
    </row>
    <row r="1123" spans="55:57" x14ac:dyDescent="0.25">
      <c r="BC1123" s="25"/>
      <c r="BD1123" s="25"/>
      <c r="BE1123" s="25"/>
    </row>
    <row r="1124" spans="55:57" x14ac:dyDescent="0.25">
      <c r="BC1124" s="25"/>
      <c r="BD1124" s="25"/>
      <c r="BE1124" s="25"/>
    </row>
    <row r="1125" spans="55:57" x14ac:dyDescent="0.25">
      <c r="BC1125" s="25"/>
      <c r="BD1125" s="25"/>
      <c r="BE1125" s="25"/>
    </row>
    <row r="1126" spans="55:57" x14ac:dyDescent="0.25">
      <c r="BC1126" s="25"/>
      <c r="BD1126" s="25"/>
      <c r="BE1126" s="25"/>
    </row>
    <row r="1127" spans="55:57" x14ac:dyDescent="0.25">
      <c r="BC1127" s="25"/>
      <c r="BD1127" s="25"/>
      <c r="BE1127" s="25"/>
    </row>
    <row r="1128" spans="55:57" x14ac:dyDescent="0.25">
      <c r="BC1128" s="25"/>
      <c r="BD1128" s="25"/>
      <c r="BE1128" s="25"/>
    </row>
    <row r="1129" spans="55:57" x14ac:dyDescent="0.25">
      <c r="BC1129" s="25"/>
      <c r="BD1129" s="25"/>
      <c r="BE1129" s="25"/>
    </row>
    <row r="1130" spans="55:57" x14ac:dyDescent="0.25">
      <c r="BC1130" s="25"/>
      <c r="BD1130" s="25"/>
      <c r="BE1130" s="25"/>
    </row>
    <row r="1131" spans="55:57" x14ac:dyDescent="0.25">
      <c r="BC1131" s="25"/>
      <c r="BD1131" s="25"/>
      <c r="BE1131" s="25"/>
    </row>
    <row r="1132" spans="55:57" x14ac:dyDescent="0.25">
      <c r="BC1132" s="25"/>
      <c r="BD1132" s="25"/>
      <c r="BE1132" s="25"/>
    </row>
    <row r="1133" spans="55:57" x14ac:dyDescent="0.25">
      <c r="BC1133" s="25"/>
      <c r="BD1133" s="25"/>
      <c r="BE1133" s="25"/>
    </row>
    <row r="1134" spans="55:57" x14ac:dyDescent="0.25">
      <c r="BC1134" s="25"/>
      <c r="BD1134" s="25"/>
      <c r="BE1134" s="25"/>
    </row>
    <row r="1135" spans="55:57" x14ac:dyDescent="0.25">
      <c r="BC1135" s="25"/>
      <c r="BD1135" s="25"/>
      <c r="BE1135" s="25"/>
    </row>
    <row r="1136" spans="55:57" x14ac:dyDescent="0.25">
      <c r="BC1136" s="25"/>
      <c r="BD1136" s="25"/>
      <c r="BE1136" s="25"/>
    </row>
    <row r="1137" spans="55:57" x14ac:dyDescent="0.25">
      <c r="BC1137" s="25"/>
      <c r="BD1137" s="25"/>
      <c r="BE1137" s="25"/>
    </row>
    <row r="1138" spans="55:57" x14ac:dyDescent="0.25">
      <c r="BC1138" s="25"/>
      <c r="BD1138" s="25"/>
      <c r="BE1138" s="25"/>
    </row>
    <row r="1139" spans="55:57" x14ac:dyDescent="0.25">
      <c r="BC1139" s="25"/>
      <c r="BD1139" s="25"/>
      <c r="BE1139" s="25"/>
    </row>
    <row r="1140" spans="55:57" x14ac:dyDescent="0.25">
      <c r="BC1140" s="25"/>
      <c r="BD1140" s="25"/>
      <c r="BE1140" s="25"/>
    </row>
    <row r="1141" spans="55:57" x14ac:dyDescent="0.25">
      <c r="BC1141" s="25"/>
      <c r="BD1141" s="25"/>
      <c r="BE1141" s="25"/>
    </row>
    <row r="1142" spans="55:57" x14ac:dyDescent="0.25">
      <c r="BC1142" s="25"/>
      <c r="BD1142" s="25"/>
      <c r="BE1142" s="25"/>
    </row>
    <row r="1143" spans="55:57" x14ac:dyDescent="0.25">
      <c r="BC1143" s="25"/>
      <c r="BD1143" s="25"/>
      <c r="BE1143" s="25"/>
    </row>
    <row r="1144" spans="55:57" x14ac:dyDescent="0.25">
      <c r="BC1144" s="25"/>
      <c r="BD1144" s="25"/>
      <c r="BE1144" s="25"/>
    </row>
    <row r="1145" spans="55:57" x14ac:dyDescent="0.25">
      <c r="BC1145" s="25"/>
      <c r="BD1145" s="25"/>
      <c r="BE1145" s="25"/>
    </row>
    <row r="1146" spans="55:57" x14ac:dyDescent="0.25">
      <c r="BC1146" s="25"/>
      <c r="BD1146" s="25"/>
      <c r="BE1146" s="25"/>
    </row>
    <row r="1147" spans="55:57" x14ac:dyDescent="0.25">
      <c r="BC1147" s="25"/>
      <c r="BD1147" s="25"/>
      <c r="BE1147" s="25"/>
    </row>
    <row r="1148" spans="55:57" x14ac:dyDescent="0.25">
      <c r="BC1148" s="25"/>
      <c r="BD1148" s="25"/>
      <c r="BE1148" s="25"/>
    </row>
    <row r="1149" spans="55:57" x14ac:dyDescent="0.25">
      <c r="BC1149" s="25"/>
      <c r="BD1149" s="25"/>
      <c r="BE1149" s="25"/>
    </row>
    <row r="1150" spans="55:57" x14ac:dyDescent="0.25">
      <c r="BC1150" s="25"/>
      <c r="BD1150" s="25"/>
      <c r="BE1150" s="25"/>
    </row>
    <row r="1151" spans="55:57" x14ac:dyDescent="0.25">
      <c r="BC1151" s="25"/>
      <c r="BD1151" s="25"/>
      <c r="BE1151" s="25"/>
    </row>
    <row r="1152" spans="55:57" x14ac:dyDescent="0.25">
      <c r="BC1152" s="25"/>
      <c r="BD1152" s="25"/>
      <c r="BE1152" s="25"/>
    </row>
    <row r="1153" spans="55:57" x14ac:dyDescent="0.25">
      <c r="BC1153" s="25"/>
      <c r="BD1153" s="25"/>
      <c r="BE1153" s="25"/>
    </row>
    <row r="1154" spans="55:57" x14ac:dyDescent="0.25">
      <c r="BC1154" s="25"/>
      <c r="BD1154" s="25"/>
      <c r="BE1154" s="25"/>
    </row>
    <row r="1155" spans="55:57" x14ac:dyDescent="0.25">
      <c r="BC1155" s="25"/>
      <c r="BD1155" s="25"/>
      <c r="BE1155" s="25"/>
    </row>
    <row r="1156" spans="55:57" x14ac:dyDescent="0.25">
      <c r="BC1156" s="25"/>
      <c r="BD1156" s="25"/>
      <c r="BE1156" s="25"/>
    </row>
    <row r="1157" spans="55:57" x14ac:dyDescent="0.25">
      <c r="BC1157" s="25"/>
      <c r="BD1157" s="25"/>
      <c r="BE1157" s="25"/>
    </row>
    <row r="1158" spans="55:57" x14ac:dyDescent="0.25">
      <c r="BC1158" s="25"/>
      <c r="BD1158" s="25"/>
      <c r="BE1158" s="25"/>
    </row>
    <row r="1159" spans="55:57" x14ac:dyDescent="0.25">
      <c r="BC1159" s="25"/>
      <c r="BD1159" s="25"/>
      <c r="BE1159" s="25"/>
    </row>
    <row r="1160" spans="55:57" x14ac:dyDescent="0.25">
      <c r="BC1160" s="25"/>
      <c r="BD1160" s="25"/>
      <c r="BE1160" s="25"/>
    </row>
    <row r="1161" spans="55:57" x14ac:dyDescent="0.25">
      <c r="BC1161" s="25"/>
      <c r="BD1161" s="25"/>
      <c r="BE1161" s="25"/>
    </row>
    <row r="1162" spans="55:57" x14ac:dyDescent="0.25">
      <c r="BC1162" s="25"/>
      <c r="BD1162" s="25"/>
      <c r="BE1162" s="25"/>
    </row>
    <row r="1163" spans="55:57" x14ac:dyDescent="0.25">
      <c r="BC1163" s="25"/>
      <c r="BD1163" s="25"/>
      <c r="BE1163" s="25"/>
    </row>
    <row r="1164" spans="55:57" x14ac:dyDescent="0.25">
      <c r="BC1164" s="25"/>
      <c r="BD1164" s="25"/>
      <c r="BE1164" s="25"/>
    </row>
    <row r="1165" spans="55:57" x14ac:dyDescent="0.25">
      <c r="BC1165" s="25"/>
      <c r="BD1165" s="25"/>
      <c r="BE1165" s="25"/>
    </row>
    <row r="1166" spans="55:57" x14ac:dyDescent="0.25">
      <c r="BC1166" s="25"/>
      <c r="BD1166" s="25"/>
      <c r="BE1166" s="25"/>
    </row>
    <row r="1167" spans="55:57" x14ac:dyDescent="0.25">
      <c r="BC1167" s="25"/>
      <c r="BD1167" s="25"/>
      <c r="BE1167" s="25"/>
    </row>
    <row r="1168" spans="55:57" x14ac:dyDescent="0.25">
      <c r="BC1168" s="25"/>
      <c r="BD1168" s="25"/>
      <c r="BE1168" s="25"/>
    </row>
    <row r="1169" spans="55:57" x14ac:dyDescent="0.25">
      <c r="BC1169" s="25"/>
      <c r="BD1169" s="25"/>
      <c r="BE1169" s="25"/>
    </row>
    <row r="1170" spans="55:57" x14ac:dyDescent="0.25">
      <c r="BC1170" s="25"/>
      <c r="BD1170" s="25"/>
      <c r="BE1170" s="25"/>
    </row>
    <row r="1171" spans="55:57" x14ac:dyDescent="0.25">
      <c r="BC1171" s="25"/>
      <c r="BD1171" s="25"/>
      <c r="BE1171" s="25"/>
    </row>
    <row r="1172" spans="55:57" x14ac:dyDescent="0.25">
      <c r="BC1172" s="25"/>
      <c r="BD1172" s="25"/>
      <c r="BE1172" s="25"/>
    </row>
    <row r="1173" spans="55:57" x14ac:dyDescent="0.25">
      <c r="BC1173" s="25"/>
      <c r="BD1173" s="25"/>
      <c r="BE1173" s="25"/>
    </row>
    <row r="1174" spans="55:57" x14ac:dyDescent="0.25">
      <c r="BC1174" s="25"/>
      <c r="BD1174" s="25"/>
      <c r="BE1174" s="25"/>
    </row>
    <row r="1175" spans="55:57" x14ac:dyDescent="0.25">
      <c r="BC1175" s="25"/>
      <c r="BD1175" s="25"/>
      <c r="BE1175" s="25"/>
    </row>
    <row r="1176" spans="55:57" x14ac:dyDescent="0.25">
      <c r="BC1176" s="25"/>
      <c r="BD1176" s="25"/>
      <c r="BE1176" s="25"/>
    </row>
    <row r="1177" spans="55:57" x14ac:dyDescent="0.25">
      <c r="BC1177" s="25"/>
      <c r="BD1177" s="25"/>
      <c r="BE1177" s="25"/>
    </row>
    <row r="1178" spans="55:57" x14ac:dyDescent="0.25">
      <c r="BC1178" s="25"/>
      <c r="BD1178" s="25"/>
      <c r="BE1178" s="25"/>
    </row>
    <row r="1179" spans="55:57" x14ac:dyDescent="0.25">
      <c r="BC1179" s="25"/>
      <c r="BD1179" s="25"/>
      <c r="BE1179" s="25"/>
    </row>
    <row r="1180" spans="55:57" x14ac:dyDescent="0.25">
      <c r="BC1180" s="25"/>
      <c r="BD1180" s="25"/>
      <c r="BE1180" s="25"/>
    </row>
    <row r="1181" spans="55:57" x14ac:dyDescent="0.25">
      <c r="BC1181" s="25"/>
      <c r="BD1181" s="25"/>
      <c r="BE1181" s="25"/>
    </row>
    <row r="1182" spans="55:57" x14ac:dyDescent="0.25">
      <c r="BC1182" s="25"/>
      <c r="BD1182" s="25"/>
      <c r="BE1182" s="25"/>
    </row>
    <row r="1183" spans="55:57" x14ac:dyDescent="0.25">
      <c r="BC1183" s="25"/>
      <c r="BD1183" s="25"/>
      <c r="BE1183" s="25"/>
    </row>
    <row r="1184" spans="55:57" x14ac:dyDescent="0.25">
      <c r="BC1184" s="25"/>
      <c r="BD1184" s="25"/>
      <c r="BE1184" s="25"/>
    </row>
    <row r="1185" spans="55:57" x14ac:dyDescent="0.25">
      <c r="BC1185" s="25"/>
      <c r="BD1185" s="25"/>
      <c r="BE1185" s="25"/>
    </row>
    <row r="1186" spans="55:57" x14ac:dyDescent="0.25">
      <c r="BC1186" s="25"/>
      <c r="BD1186" s="25"/>
      <c r="BE1186" s="25"/>
    </row>
    <row r="1187" spans="55:57" x14ac:dyDescent="0.25">
      <c r="BC1187" s="25"/>
      <c r="BD1187" s="25"/>
      <c r="BE1187" s="25"/>
    </row>
    <row r="1188" spans="55:57" x14ac:dyDescent="0.25">
      <c r="BC1188" s="25"/>
      <c r="BD1188" s="25"/>
      <c r="BE1188" s="25"/>
    </row>
    <row r="1189" spans="55:57" x14ac:dyDescent="0.25">
      <c r="BC1189" s="25"/>
      <c r="BD1189" s="25"/>
      <c r="BE1189" s="25"/>
    </row>
    <row r="1190" spans="55:57" x14ac:dyDescent="0.25">
      <c r="BC1190" s="25"/>
      <c r="BD1190" s="25"/>
      <c r="BE1190" s="25"/>
    </row>
    <row r="1191" spans="55:57" x14ac:dyDescent="0.25">
      <c r="BC1191" s="25"/>
      <c r="BD1191" s="25"/>
      <c r="BE1191" s="25"/>
    </row>
    <row r="1192" spans="55:57" x14ac:dyDescent="0.25">
      <c r="BC1192" s="25"/>
      <c r="BD1192" s="25"/>
      <c r="BE1192" s="25"/>
    </row>
    <row r="1193" spans="55:57" x14ac:dyDescent="0.25">
      <c r="BC1193" s="25"/>
      <c r="BD1193" s="25"/>
      <c r="BE1193" s="25"/>
    </row>
    <row r="1194" spans="55:57" x14ac:dyDescent="0.25">
      <c r="BC1194" s="25"/>
      <c r="BD1194" s="25"/>
      <c r="BE1194" s="25"/>
    </row>
    <row r="1195" spans="55:57" x14ac:dyDescent="0.25">
      <c r="BC1195" s="25"/>
      <c r="BD1195" s="25"/>
      <c r="BE1195" s="25"/>
    </row>
    <row r="1196" spans="55:57" x14ac:dyDescent="0.25">
      <c r="BC1196" s="25"/>
      <c r="BD1196" s="25"/>
      <c r="BE1196" s="25"/>
    </row>
    <row r="1197" spans="55:57" x14ac:dyDescent="0.25">
      <c r="BC1197" s="25"/>
      <c r="BD1197" s="25"/>
      <c r="BE1197" s="25"/>
    </row>
    <row r="1198" spans="55:57" x14ac:dyDescent="0.25">
      <c r="BC1198" s="25"/>
      <c r="BD1198" s="25"/>
      <c r="BE1198" s="25"/>
    </row>
    <row r="1199" spans="55:57" x14ac:dyDescent="0.25">
      <c r="BC1199" s="25"/>
      <c r="BD1199" s="25"/>
      <c r="BE1199" s="25"/>
    </row>
    <row r="1200" spans="55:57" x14ac:dyDescent="0.25">
      <c r="BC1200" s="25"/>
      <c r="BD1200" s="25"/>
      <c r="BE1200" s="25"/>
    </row>
    <row r="1201" spans="55:57" x14ac:dyDescent="0.25">
      <c r="BC1201" s="25"/>
      <c r="BD1201" s="25"/>
      <c r="BE1201" s="25"/>
    </row>
    <row r="1202" spans="55:57" x14ac:dyDescent="0.25">
      <c r="BC1202" s="25"/>
      <c r="BD1202" s="25"/>
      <c r="BE1202" s="25"/>
    </row>
    <row r="1203" spans="55:57" x14ac:dyDescent="0.25">
      <c r="BC1203" s="25"/>
      <c r="BD1203" s="25"/>
      <c r="BE1203" s="25"/>
    </row>
    <row r="1204" spans="55:57" x14ac:dyDescent="0.25">
      <c r="BC1204" s="25"/>
      <c r="BD1204" s="25"/>
      <c r="BE1204" s="25"/>
    </row>
    <row r="1205" spans="55:57" x14ac:dyDescent="0.25">
      <c r="BC1205" s="25"/>
      <c r="BD1205" s="25"/>
      <c r="BE1205" s="25"/>
    </row>
    <row r="1206" spans="55:57" x14ac:dyDescent="0.25">
      <c r="BC1206" s="25"/>
      <c r="BD1206" s="25"/>
      <c r="BE1206" s="25"/>
    </row>
    <row r="1207" spans="55:57" x14ac:dyDescent="0.25">
      <c r="BC1207" s="25"/>
      <c r="BD1207" s="25"/>
      <c r="BE1207" s="25"/>
    </row>
    <row r="1208" spans="55:57" x14ac:dyDescent="0.25">
      <c r="BC1208" s="25"/>
      <c r="BD1208" s="25"/>
      <c r="BE1208" s="25"/>
    </row>
    <row r="1209" spans="55:57" x14ac:dyDescent="0.25">
      <c r="BC1209" s="25"/>
      <c r="BD1209" s="25"/>
      <c r="BE1209" s="25"/>
    </row>
    <row r="1210" spans="55:57" x14ac:dyDescent="0.25">
      <c r="BC1210" s="25"/>
      <c r="BD1210" s="25"/>
      <c r="BE1210" s="25"/>
    </row>
    <row r="1211" spans="55:57" x14ac:dyDescent="0.25">
      <c r="BC1211" s="25"/>
      <c r="BD1211" s="25"/>
      <c r="BE1211" s="25"/>
    </row>
    <row r="1212" spans="55:57" x14ac:dyDescent="0.25">
      <c r="BC1212" s="25"/>
      <c r="BD1212" s="25"/>
      <c r="BE1212" s="25"/>
    </row>
    <row r="1213" spans="55:57" x14ac:dyDescent="0.25">
      <c r="BC1213" s="25"/>
      <c r="BD1213" s="25"/>
      <c r="BE1213" s="25"/>
    </row>
    <row r="1214" spans="55:57" x14ac:dyDescent="0.25">
      <c r="BC1214" s="25"/>
      <c r="BD1214" s="25"/>
      <c r="BE1214" s="25"/>
    </row>
    <row r="1215" spans="55:57" x14ac:dyDescent="0.25">
      <c r="BC1215" s="25"/>
      <c r="BD1215" s="25"/>
      <c r="BE1215" s="25"/>
    </row>
    <row r="1216" spans="55:57" x14ac:dyDescent="0.25">
      <c r="BC1216" s="25"/>
      <c r="BD1216" s="25"/>
      <c r="BE1216" s="25"/>
    </row>
    <row r="1217" spans="55:57" x14ac:dyDescent="0.25">
      <c r="BC1217" s="25"/>
      <c r="BD1217" s="25"/>
      <c r="BE1217" s="25"/>
    </row>
    <row r="1218" spans="55:57" x14ac:dyDescent="0.25">
      <c r="BC1218" s="25"/>
      <c r="BD1218" s="25"/>
      <c r="BE1218" s="25"/>
    </row>
    <row r="1219" spans="55:57" x14ac:dyDescent="0.25">
      <c r="BC1219" s="25"/>
      <c r="BD1219" s="25"/>
      <c r="BE1219" s="25"/>
    </row>
    <row r="1220" spans="55:57" x14ac:dyDescent="0.25">
      <c r="BC1220" s="25"/>
      <c r="BD1220" s="25"/>
      <c r="BE1220" s="25"/>
    </row>
    <row r="1221" spans="55:57" x14ac:dyDescent="0.25">
      <c r="BC1221" s="25"/>
      <c r="BD1221" s="25"/>
      <c r="BE1221" s="25"/>
    </row>
    <row r="1222" spans="55:57" x14ac:dyDescent="0.25">
      <c r="BC1222" s="25"/>
      <c r="BD1222" s="25"/>
      <c r="BE1222" s="25"/>
    </row>
    <row r="1223" spans="55:57" x14ac:dyDescent="0.25">
      <c r="BC1223" s="25"/>
      <c r="BD1223" s="25"/>
      <c r="BE1223" s="25"/>
    </row>
    <row r="1224" spans="55:57" x14ac:dyDescent="0.25">
      <c r="BC1224" s="25"/>
      <c r="BD1224" s="25"/>
      <c r="BE1224" s="25"/>
    </row>
    <row r="1225" spans="55:57" x14ac:dyDescent="0.25">
      <c r="BC1225" s="25"/>
      <c r="BD1225" s="25"/>
      <c r="BE1225" s="25"/>
    </row>
    <row r="1226" spans="55:57" x14ac:dyDescent="0.25">
      <c r="BC1226" s="25"/>
      <c r="BD1226" s="25"/>
      <c r="BE1226" s="25"/>
    </row>
    <row r="1227" spans="55:57" x14ac:dyDescent="0.25">
      <c r="BC1227" s="25"/>
      <c r="BD1227" s="25"/>
      <c r="BE1227" s="25"/>
    </row>
    <row r="1228" spans="55:57" x14ac:dyDescent="0.25">
      <c r="BC1228" s="25"/>
      <c r="BD1228" s="25"/>
      <c r="BE1228" s="25"/>
    </row>
    <row r="1229" spans="55:57" x14ac:dyDescent="0.25">
      <c r="BC1229" s="25"/>
      <c r="BD1229" s="25"/>
      <c r="BE1229" s="25"/>
    </row>
    <row r="1230" spans="55:57" x14ac:dyDescent="0.25">
      <c r="BC1230" s="25"/>
      <c r="BD1230" s="25"/>
      <c r="BE1230" s="25"/>
    </row>
    <row r="1231" spans="55:57" x14ac:dyDescent="0.25">
      <c r="BC1231" s="25"/>
      <c r="BD1231" s="25"/>
      <c r="BE1231" s="25"/>
    </row>
    <row r="1232" spans="55:57" x14ac:dyDescent="0.25">
      <c r="BC1232" s="25"/>
      <c r="BD1232" s="25"/>
      <c r="BE1232" s="25"/>
    </row>
    <row r="1233" spans="55:57" x14ac:dyDescent="0.25">
      <c r="BC1233" s="25"/>
      <c r="BD1233" s="25"/>
      <c r="BE1233" s="25"/>
    </row>
    <row r="1234" spans="55:57" x14ac:dyDescent="0.25">
      <c r="BC1234" s="25"/>
      <c r="BD1234" s="25"/>
      <c r="BE1234" s="25"/>
    </row>
    <row r="1235" spans="55:57" x14ac:dyDescent="0.25">
      <c r="BC1235" s="25"/>
      <c r="BD1235" s="25"/>
      <c r="BE1235" s="25"/>
    </row>
    <row r="1236" spans="55:57" x14ac:dyDescent="0.25">
      <c r="BC1236" s="25"/>
      <c r="BD1236" s="25"/>
      <c r="BE1236" s="25"/>
    </row>
    <row r="1237" spans="55:57" x14ac:dyDescent="0.25">
      <c r="BC1237" s="25"/>
      <c r="BD1237" s="25"/>
      <c r="BE1237" s="25"/>
    </row>
    <row r="1238" spans="55:57" x14ac:dyDescent="0.25">
      <c r="BC1238" s="25"/>
      <c r="BD1238" s="25"/>
      <c r="BE1238" s="25"/>
    </row>
    <row r="1239" spans="55:57" x14ac:dyDescent="0.25">
      <c r="BC1239" s="25"/>
      <c r="BD1239" s="25"/>
      <c r="BE1239" s="25"/>
    </row>
    <row r="1240" spans="55:57" x14ac:dyDescent="0.25">
      <c r="BC1240" s="25"/>
      <c r="BD1240" s="25"/>
      <c r="BE1240" s="25"/>
    </row>
    <row r="1241" spans="55:57" x14ac:dyDescent="0.25">
      <c r="BC1241" s="25"/>
      <c r="BD1241" s="25"/>
      <c r="BE1241" s="25"/>
    </row>
    <row r="1242" spans="55:57" x14ac:dyDescent="0.25">
      <c r="BC1242" s="25"/>
      <c r="BD1242" s="25"/>
      <c r="BE1242" s="25"/>
    </row>
    <row r="1243" spans="55:57" x14ac:dyDescent="0.25">
      <c r="BC1243" s="25"/>
      <c r="BD1243" s="25"/>
      <c r="BE1243" s="25"/>
    </row>
    <row r="1244" spans="55:57" x14ac:dyDescent="0.25">
      <c r="BC1244" s="25"/>
      <c r="BD1244" s="25"/>
      <c r="BE1244" s="25"/>
    </row>
    <row r="1245" spans="55:57" x14ac:dyDescent="0.25">
      <c r="BC1245" s="25"/>
      <c r="BD1245" s="25"/>
      <c r="BE1245" s="25"/>
    </row>
    <row r="1246" spans="55:57" x14ac:dyDescent="0.25">
      <c r="BC1246" s="25"/>
      <c r="BD1246" s="25"/>
      <c r="BE1246" s="25"/>
    </row>
    <row r="1247" spans="55:57" x14ac:dyDescent="0.25">
      <c r="BC1247" s="25"/>
      <c r="BD1247" s="25"/>
      <c r="BE1247" s="25"/>
    </row>
    <row r="1248" spans="55:57" x14ac:dyDescent="0.25">
      <c r="BC1248" s="25"/>
      <c r="BD1248" s="25"/>
      <c r="BE1248" s="25"/>
    </row>
    <row r="1249" spans="55:57" x14ac:dyDescent="0.25">
      <c r="BC1249" s="25"/>
      <c r="BD1249" s="25"/>
      <c r="BE1249" s="25"/>
    </row>
    <row r="1250" spans="55:57" x14ac:dyDescent="0.25">
      <c r="BC1250" s="25"/>
      <c r="BD1250" s="25"/>
      <c r="BE1250" s="25"/>
    </row>
    <row r="1251" spans="55:57" x14ac:dyDescent="0.25">
      <c r="BC1251" s="25"/>
      <c r="BD1251" s="25"/>
      <c r="BE1251" s="25"/>
    </row>
    <row r="1252" spans="55:57" x14ac:dyDescent="0.25">
      <c r="BC1252" s="25"/>
      <c r="BD1252" s="25"/>
      <c r="BE1252" s="25"/>
    </row>
    <row r="1253" spans="55:57" x14ac:dyDescent="0.25">
      <c r="BC1253" s="25"/>
      <c r="BD1253" s="25"/>
      <c r="BE1253" s="25"/>
    </row>
    <row r="1254" spans="55:57" x14ac:dyDescent="0.25">
      <c r="BC1254" s="25"/>
      <c r="BD1254" s="25"/>
      <c r="BE1254" s="25"/>
    </row>
    <row r="1255" spans="55:57" x14ac:dyDescent="0.25">
      <c r="BC1255" s="25"/>
      <c r="BD1255" s="25"/>
      <c r="BE1255" s="25"/>
    </row>
    <row r="1256" spans="55:57" x14ac:dyDescent="0.25">
      <c r="BC1256" s="25"/>
      <c r="BD1256" s="25"/>
      <c r="BE1256" s="25"/>
    </row>
    <row r="1257" spans="55:57" x14ac:dyDescent="0.25">
      <c r="BC1257" s="25"/>
      <c r="BD1257" s="25"/>
      <c r="BE1257" s="2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46"/>
  <sheetViews>
    <sheetView topLeftCell="I1" workbookViewId="0">
      <selection activeCell="O1" sqref="O1"/>
    </sheetView>
  </sheetViews>
  <sheetFormatPr defaultRowHeight="13.2" x14ac:dyDescent="0.25"/>
  <cols>
    <col min="1" max="3" width="14.6640625" customWidth="1"/>
    <col min="4" max="5" width="14.6640625" style="25" customWidth="1"/>
    <col min="6" max="6" width="14.6640625" customWidth="1"/>
    <col min="7" max="7" width="17" style="25" customWidth="1"/>
    <col min="8" max="8" width="19.33203125" style="25" customWidth="1"/>
    <col min="9" max="15" width="14.6640625" customWidth="1"/>
  </cols>
  <sheetData>
    <row r="1" spans="1:15" s="29" customFormat="1" x14ac:dyDescent="0.25">
      <c r="A1" s="19" t="s">
        <v>8</v>
      </c>
      <c r="B1" s="19" t="s">
        <v>75</v>
      </c>
      <c r="C1" s="29" t="s">
        <v>30</v>
      </c>
      <c r="D1" s="32" t="s">
        <v>113</v>
      </c>
      <c r="E1" s="32" t="s">
        <v>114</v>
      </c>
      <c r="F1" s="29" t="s">
        <v>116</v>
      </c>
      <c r="G1" s="27" t="s">
        <v>83</v>
      </c>
      <c r="H1" s="27" t="s">
        <v>112</v>
      </c>
      <c r="I1" s="29" t="s">
        <v>32</v>
      </c>
      <c r="J1" s="29" t="s">
        <v>39</v>
      </c>
      <c r="K1" s="29" t="s">
        <v>115</v>
      </c>
      <c r="L1" s="33" t="s">
        <v>117</v>
      </c>
      <c r="M1" s="29" t="s">
        <v>102</v>
      </c>
      <c r="N1" s="29" t="s">
        <v>46</v>
      </c>
      <c r="O1" s="29" t="s">
        <v>45</v>
      </c>
    </row>
    <row r="2" spans="1:15" x14ac:dyDescent="0.25">
      <c r="A2" t="s">
        <v>418</v>
      </c>
      <c r="B2">
        <v>1</v>
      </c>
      <c r="C2">
        <v>3</v>
      </c>
      <c r="D2" s="25">
        <v>10199.999999999998</v>
      </c>
      <c r="E2" s="25">
        <v>2610.9350170828402</v>
      </c>
      <c r="F2">
        <v>2</v>
      </c>
      <c r="G2" s="25">
        <v>0.13102215647063234</v>
      </c>
      <c r="H2" s="25">
        <v>28.01736</v>
      </c>
      <c r="I2">
        <v>13</v>
      </c>
      <c r="J2">
        <v>1</v>
      </c>
      <c r="K2" t="s">
        <v>418</v>
      </c>
      <c r="L2" t="b">
        <v>0</v>
      </c>
      <c r="M2" t="b">
        <v>0</v>
      </c>
      <c r="N2" t="s">
        <v>223</v>
      </c>
      <c r="O2" t="s">
        <v>222</v>
      </c>
    </row>
    <row r="3" spans="1:15" x14ac:dyDescent="0.25">
      <c r="A3" t="s">
        <v>419</v>
      </c>
      <c r="B3">
        <v>1</v>
      </c>
      <c r="C3">
        <v>4</v>
      </c>
      <c r="D3" s="25">
        <v>6969.513629801464</v>
      </c>
      <c r="E3" s="25">
        <v>1569.6025499124055</v>
      </c>
      <c r="F3">
        <v>2</v>
      </c>
      <c r="G3" s="25">
        <v>8.0376225707433996E-2</v>
      </c>
      <c r="H3" s="25">
        <v>20.02336</v>
      </c>
      <c r="I3">
        <v>9</v>
      </c>
      <c r="J3">
        <v>1</v>
      </c>
      <c r="K3" t="s">
        <v>419</v>
      </c>
      <c r="L3" t="b">
        <v>0</v>
      </c>
      <c r="M3" t="b">
        <v>0</v>
      </c>
      <c r="N3" t="s">
        <v>223</v>
      </c>
      <c r="O3" t="s">
        <v>222</v>
      </c>
    </row>
    <row r="4" spans="1:15" x14ac:dyDescent="0.25">
      <c r="A4" t="s">
        <v>364</v>
      </c>
      <c r="B4">
        <v>8</v>
      </c>
      <c r="C4">
        <v>1</v>
      </c>
      <c r="D4" s="25">
        <v>6600</v>
      </c>
      <c r="E4" s="25">
        <v>1151.7934518903494</v>
      </c>
      <c r="F4">
        <v>6</v>
      </c>
      <c r="G4" s="25">
        <v>8.3002774152967126E-2</v>
      </c>
      <c r="H4" s="25">
        <v>20.353439999999999</v>
      </c>
      <c r="I4">
        <v>10</v>
      </c>
      <c r="J4">
        <v>1</v>
      </c>
      <c r="K4" t="s">
        <v>364</v>
      </c>
      <c r="L4" t="b">
        <v>0</v>
      </c>
      <c r="M4" t="b">
        <v>0</v>
      </c>
      <c r="N4" t="s">
        <v>223</v>
      </c>
      <c r="O4" t="s">
        <v>222</v>
      </c>
    </row>
    <row r="5" spans="1:15" x14ac:dyDescent="0.25">
      <c r="A5" t="s">
        <v>365</v>
      </c>
      <c r="B5">
        <v>8</v>
      </c>
      <c r="C5">
        <v>1</v>
      </c>
      <c r="D5" s="25">
        <v>6600.0000000000018</v>
      </c>
      <c r="E5" s="25">
        <v>2084.333824666217</v>
      </c>
      <c r="F5">
        <v>4</v>
      </c>
      <c r="G5" s="25">
        <v>7.659848409702813E-2</v>
      </c>
      <c r="H5" s="25">
        <v>21.779800000000002</v>
      </c>
      <c r="I5">
        <v>8</v>
      </c>
      <c r="J5">
        <v>1</v>
      </c>
      <c r="K5" t="s">
        <v>365</v>
      </c>
      <c r="L5" t="b">
        <v>0</v>
      </c>
      <c r="M5" t="b">
        <v>0</v>
      </c>
      <c r="N5" t="s">
        <v>223</v>
      </c>
      <c r="O5" t="s">
        <v>222</v>
      </c>
    </row>
    <row r="6" spans="1:15" x14ac:dyDescent="0.25">
      <c r="A6" t="s">
        <v>366</v>
      </c>
      <c r="B6">
        <v>7</v>
      </c>
      <c r="C6">
        <v>1</v>
      </c>
      <c r="D6" s="25">
        <v>8199.9999999999982</v>
      </c>
      <c r="E6" s="25">
        <v>1818.4211399611086</v>
      </c>
      <c r="F6">
        <v>2</v>
      </c>
      <c r="G6" s="25">
        <v>8.8398317872962415E-2</v>
      </c>
      <c r="H6" s="25">
        <v>20.372959999999999</v>
      </c>
      <c r="I6">
        <v>8</v>
      </c>
      <c r="J6">
        <v>1</v>
      </c>
      <c r="K6" t="s">
        <v>366</v>
      </c>
      <c r="L6" t="b">
        <v>0</v>
      </c>
      <c r="M6" t="b">
        <v>0</v>
      </c>
      <c r="N6" t="s">
        <v>223</v>
      </c>
      <c r="O6" t="s">
        <v>222</v>
      </c>
    </row>
    <row r="7" spans="1:15" x14ac:dyDescent="0.25">
      <c r="A7" t="s">
        <v>367</v>
      </c>
      <c r="B7">
        <v>6</v>
      </c>
      <c r="C7">
        <v>1</v>
      </c>
      <c r="D7" s="25">
        <v>7200.0000000000009</v>
      </c>
      <c r="E7" s="25">
        <v>1879.336134230718</v>
      </c>
      <c r="F7">
        <v>2</v>
      </c>
      <c r="G7" s="25">
        <v>7.7488750732900999E-2</v>
      </c>
      <c r="H7" s="25">
        <v>11.85056</v>
      </c>
      <c r="I7">
        <v>6</v>
      </c>
      <c r="J7">
        <v>1</v>
      </c>
      <c r="K7" t="s">
        <v>367</v>
      </c>
      <c r="L7" t="b">
        <v>0</v>
      </c>
      <c r="M7" t="b">
        <v>0</v>
      </c>
      <c r="N7" t="s">
        <v>223</v>
      </c>
      <c r="O7" t="s">
        <v>222</v>
      </c>
    </row>
    <row r="8" spans="1:15" x14ac:dyDescent="0.25">
      <c r="A8" t="s">
        <v>368</v>
      </c>
      <c r="B8">
        <v>5</v>
      </c>
      <c r="C8">
        <v>1</v>
      </c>
      <c r="D8" s="25">
        <v>7900.0000000000009</v>
      </c>
      <c r="E8" s="25">
        <v>2050.0425402279943</v>
      </c>
      <c r="F8">
        <v>2</v>
      </c>
      <c r="G8" s="25">
        <v>8.6919503590458996E-2</v>
      </c>
      <c r="H8" s="25">
        <v>15.522559999999999</v>
      </c>
      <c r="I8">
        <v>8</v>
      </c>
      <c r="J8">
        <v>1</v>
      </c>
      <c r="K8" t="s">
        <v>368</v>
      </c>
      <c r="L8" t="b">
        <v>0</v>
      </c>
      <c r="M8" t="b">
        <v>0</v>
      </c>
      <c r="N8" t="s">
        <v>223</v>
      </c>
      <c r="O8" t="s">
        <v>222</v>
      </c>
    </row>
    <row r="9" spans="1:15" x14ac:dyDescent="0.25">
      <c r="A9" t="s">
        <v>369</v>
      </c>
      <c r="B9">
        <v>1</v>
      </c>
      <c r="C9">
        <v>1</v>
      </c>
      <c r="D9" s="25">
        <v>7442.0047314593521</v>
      </c>
      <c r="E9" s="25">
        <v>2050.0425402279943</v>
      </c>
      <c r="F9">
        <v>2</v>
      </c>
      <c r="G9" s="25">
        <v>8.4460826336180406E-2</v>
      </c>
      <c r="H9" s="25">
        <v>15.292960000000001</v>
      </c>
      <c r="I9">
        <v>8</v>
      </c>
      <c r="J9">
        <v>1</v>
      </c>
      <c r="K9" t="s">
        <v>369</v>
      </c>
      <c r="L9" t="b">
        <v>0</v>
      </c>
      <c r="M9" t="b">
        <v>0</v>
      </c>
      <c r="N9" t="s">
        <v>223</v>
      </c>
      <c r="O9" t="s">
        <v>222</v>
      </c>
    </row>
    <row r="10" spans="1:15" x14ac:dyDescent="0.25">
      <c r="A10" t="s">
        <v>370</v>
      </c>
      <c r="B10">
        <v>5</v>
      </c>
      <c r="C10">
        <v>1</v>
      </c>
      <c r="D10" s="25">
        <v>5130.0000000000009</v>
      </c>
      <c r="E10" s="25">
        <v>2050.0425402279943</v>
      </c>
      <c r="F10">
        <v>2</v>
      </c>
      <c r="G10" s="25">
        <v>6.2958577072426802E-2</v>
      </c>
      <c r="H10" s="25">
        <v>11.26136</v>
      </c>
      <c r="I10">
        <v>6</v>
      </c>
      <c r="J10">
        <v>1</v>
      </c>
      <c r="K10" t="s">
        <v>370</v>
      </c>
      <c r="L10" t="b">
        <v>0</v>
      </c>
      <c r="M10" t="b">
        <v>0</v>
      </c>
      <c r="N10" t="s">
        <v>223</v>
      </c>
      <c r="O10" t="s">
        <v>222</v>
      </c>
    </row>
    <row r="11" spans="1:15" x14ac:dyDescent="0.25">
      <c r="A11" t="s">
        <v>371</v>
      </c>
      <c r="B11">
        <v>8</v>
      </c>
      <c r="C11">
        <v>1</v>
      </c>
      <c r="D11" s="25">
        <v>5430</v>
      </c>
      <c r="E11" s="25">
        <v>1293.1106313485652</v>
      </c>
      <c r="F11">
        <v>1</v>
      </c>
      <c r="G11" s="25">
        <v>5.9298632566501877E-2</v>
      </c>
      <c r="H11" s="25">
        <v>11.641360000000001</v>
      </c>
      <c r="I11">
        <v>6</v>
      </c>
      <c r="J11">
        <v>1</v>
      </c>
      <c r="K11" t="s">
        <v>371</v>
      </c>
      <c r="L11" t="b">
        <v>0</v>
      </c>
      <c r="M11" t="b">
        <v>0</v>
      </c>
      <c r="N11" t="s">
        <v>223</v>
      </c>
      <c r="O11" t="s">
        <v>222</v>
      </c>
    </row>
    <row r="12" spans="1:15" x14ac:dyDescent="0.25">
      <c r="A12" t="s">
        <v>372</v>
      </c>
      <c r="B12">
        <v>7</v>
      </c>
      <c r="C12">
        <v>1</v>
      </c>
      <c r="D12" s="25">
        <v>4060</v>
      </c>
      <c r="E12" s="25">
        <v>989.3889435287565</v>
      </c>
      <c r="F12">
        <v>1</v>
      </c>
      <c r="G12" s="25">
        <v>4.1618608415065574E-2</v>
      </c>
      <c r="H12" s="25">
        <v>8.540560000000001</v>
      </c>
      <c r="I12">
        <v>5</v>
      </c>
      <c r="J12">
        <v>1</v>
      </c>
      <c r="K12" t="s">
        <v>372</v>
      </c>
      <c r="L12" t="b">
        <v>0</v>
      </c>
      <c r="M12" t="b">
        <v>0</v>
      </c>
      <c r="N12" t="s">
        <v>223</v>
      </c>
      <c r="O12" t="s">
        <v>222</v>
      </c>
    </row>
    <row r="13" spans="1:15" x14ac:dyDescent="0.25">
      <c r="A13" t="s">
        <v>381</v>
      </c>
      <c r="B13">
        <v>1</v>
      </c>
      <c r="C13">
        <v>1</v>
      </c>
      <c r="D13" s="25">
        <v>8600.0000000000437</v>
      </c>
      <c r="E13" s="25">
        <v>1984.1065649092197</v>
      </c>
      <c r="F13">
        <v>2</v>
      </c>
      <c r="G13" s="25">
        <v>9.4688104343329096E-2</v>
      </c>
      <c r="H13" s="25">
        <v>16.083359999999999</v>
      </c>
      <c r="I13">
        <v>8</v>
      </c>
      <c r="J13">
        <v>1</v>
      </c>
      <c r="K13" t="s">
        <v>381</v>
      </c>
      <c r="L13" t="b">
        <v>0</v>
      </c>
      <c r="M13" t="b">
        <v>0</v>
      </c>
      <c r="N13" t="s">
        <v>223</v>
      </c>
      <c r="O13" t="s">
        <v>222</v>
      </c>
    </row>
    <row r="14" spans="1:15" x14ac:dyDescent="0.25">
      <c r="A14" t="s">
        <v>390</v>
      </c>
      <c r="B14">
        <v>1</v>
      </c>
      <c r="C14">
        <v>1</v>
      </c>
      <c r="D14" s="25">
        <v>8530</v>
      </c>
      <c r="E14" s="25">
        <v>1984.1065649092197</v>
      </c>
      <c r="F14">
        <v>2</v>
      </c>
      <c r="G14" s="25">
        <v>9.4421596508792296E-2</v>
      </c>
      <c r="H14" s="25">
        <v>17.353359999999999</v>
      </c>
      <c r="I14">
        <v>8</v>
      </c>
      <c r="J14">
        <v>1</v>
      </c>
      <c r="K14" t="s">
        <v>390</v>
      </c>
      <c r="L14" t="b">
        <v>0</v>
      </c>
      <c r="M14" t="b">
        <v>0</v>
      </c>
      <c r="N14" t="s">
        <v>223</v>
      </c>
      <c r="O14" t="s">
        <v>222</v>
      </c>
    </row>
    <row r="15" spans="1:15" x14ac:dyDescent="0.25">
      <c r="A15" t="s">
        <v>374</v>
      </c>
      <c r="B15">
        <v>5</v>
      </c>
      <c r="C15">
        <v>1</v>
      </c>
      <c r="D15" s="25">
        <v>7599.9999999999982</v>
      </c>
      <c r="E15" s="25">
        <v>1694.1570712495595</v>
      </c>
      <c r="F15">
        <v>2</v>
      </c>
      <c r="G15" s="25">
        <v>8.0100616617413231E-2</v>
      </c>
      <c r="H15" s="25">
        <v>15.86176</v>
      </c>
      <c r="I15">
        <v>7</v>
      </c>
      <c r="J15">
        <v>1</v>
      </c>
      <c r="K15" t="s">
        <v>374</v>
      </c>
      <c r="L15" t="b">
        <v>0</v>
      </c>
      <c r="M15" t="b">
        <v>0</v>
      </c>
      <c r="N15" t="s">
        <v>223</v>
      </c>
      <c r="O15" t="s">
        <v>222</v>
      </c>
    </row>
    <row r="16" spans="1:15" x14ac:dyDescent="0.25">
      <c r="A16" t="s">
        <v>420</v>
      </c>
      <c r="B16">
        <v>2</v>
      </c>
      <c r="C16">
        <v>2</v>
      </c>
      <c r="D16" s="25">
        <v>7599.9999999999982</v>
      </c>
      <c r="E16" s="25">
        <v>1694.1570712495595</v>
      </c>
      <c r="F16">
        <v>2</v>
      </c>
      <c r="G16" s="25">
        <v>8.0100616617413231E-2</v>
      </c>
      <c r="H16" s="25">
        <v>15.86176</v>
      </c>
      <c r="I16">
        <v>7</v>
      </c>
      <c r="J16">
        <v>1</v>
      </c>
      <c r="K16" t="s">
        <v>420</v>
      </c>
      <c r="L16" t="b">
        <v>0</v>
      </c>
      <c r="M16" t="b">
        <v>0</v>
      </c>
      <c r="N16" t="s">
        <v>223</v>
      </c>
      <c r="O16" t="s">
        <v>222</v>
      </c>
    </row>
    <row r="17" spans="1:15" x14ac:dyDescent="0.25">
      <c r="A17" t="s">
        <v>403</v>
      </c>
      <c r="B17">
        <v>2</v>
      </c>
      <c r="C17">
        <v>1</v>
      </c>
      <c r="D17" s="25">
        <v>8130</v>
      </c>
      <c r="E17" s="25">
        <v>1859.5520435739309</v>
      </c>
      <c r="F17">
        <v>2</v>
      </c>
      <c r="G17" s="25">
        <v>9.2546027304127504E-2</v>
      </c>
      <c r="H17" s="25">
        <v>17.353359999999999</v>
      </c>
      <c r="I17">
        <v>8</v>
      </c>
      <c r="J17">
        <v>1</v>
      </c>
      <c r="K17" t="s">
        <v>403</v>
      </c>
      <c r="L17" t="b">
        <v>0</v>
      </c>
      <c r="M17" t="b">
        <v>0</v>
      </c>
      <c r="N17" t="s">
        <v>223</v>
      </c>
      <c r="O17" t="s">
        <v>222</v>
      </c>
    </row>
    <row r="18" spans="1:15" x14ac:dyDescent="0.25">
      <c r="A18" t="s">
        <v>404</v>
      </c>
      <c r="B18">
        <v>1</v>
      </c>
      <c r="C18">
        <v>1</v>
      </c>
      <c r="D18" s="25">
        <v>8200.0000000000018</v>
      </c>
      <c r="E18" s="25">
        <v>1859.5520435720682</v>
      </c>
      <c r="F18">
        <v>2</v>
      </c>
      <c r="G18" s="25">
        <v>9.28125351386766E-2</v>
      </c>
      <c r="H18" s="25">
        <v>16.083359999999999</v>
      </c>
      <c r="I18">
        <v>8</v>
      </c>
      <c r="J18">
        <v>1</v>
      </c>
      <c r="K18" t="s">
        <v>404</v>
      </c>
      <c r="L18" t="b">
        <v>0</v>
      </c>
      <c r="M18" t="b">
        <v>0</v>
      </c>
      <c r="N18" t="s">
        <v>223</v>
      </c>
      <c r="O18" t="s">
        <v>222</v>
      </c>
    </row>
    <row r="19" spans="1:15" x14ac:dyDescent="0.25">
      <c r="A19" t="s">
        <v>405</v>
      </c>
      <c r="B19">
        <v>3</v>
      </c>
      <c r="C19">
        <v>1</v>
      </c>
      <c r="D19" s="25">
        <v>8600</v>
      </c>
      <c r="E19" s="25">
        <v>1984.1065649110824</v>
      </c>
      <c r="F19">
        <v>2</v>
      </c>
      <c r="G19" s="25">
        <v>9.4688104343345667E-2</v>
      </c>
      <c r="H19" s="25">
        <v>16.083359999999999</v>
      </c>
      <c r="I19">
        <v>8</v>
      </c>
      <c r="J19">
        <v>1</v>
      </c>
      <c r="K19" t="s">
        <v>405</v>
      </c>
      <c r="L19" t="b">
        <v>0</v>
      </c>
      <c r="M19" t="b">
        <v>0</v>
      </c>
      <c r="N19" t="s">
        <v>223</v>
      </c>
      <c r="O19" t="s">
        <v>222</v>
      </c>
    </row>
    <row r="20" spans="1:15" x14ac:dyDescent="0.25">
      <c r="A20" t="s">
        <v>406</v>
      </c>
      <c r="B20">
        <v>6</v>
      </c>
      <c r="C20">
        <v>1</v>
      </c>
      <c r="D20" s="25">
        <v>10200</v>
      </c>
      <c r="E20" s="25">
        <v>2610.9350170828402</v>
      </c>
      <c r="F20">
        <v>2</v>
      </c>
      <c r="G20" s="25">
        <v>0.113846786671367</v>
      </c>
      <c r="H20" s="25">
        <v>16.593360000000001</v>
      </c>
      <c r="I20">
        <v>8</v>
      </c>
      <c r="J20">
        <v>1</v>
      </c>
      <c r="K20" t="s">
        <v>406</v>
      </c>
      <c r="L20" t="b">
        <v>0</v>
      </c>
      <c r="M20" t="b">
        <v>0</v>
      </c>
      <c r="N20" t="s">
        <v>223</v>
      </c>
      <c r="O20" t="s">
        <v>222</v>
      </c>
    </row>
    <row r="21" spans="1:15" x14ac:dyDescent="0.25">
      <c r="A21" t="s">
        <v>407</v>
      </c>
      <c r="B21">
        <v>9</v>
      </c>
      <c r="C21">
        <v>1</v>
      </c>
      <c r="D21" s="25">
        <v>10200</v>
      </c>
      <c r="E21" s="25">
        <v>2610.9350170828402</v>
      </c>
      <c r="F21">
        <v>2</v>
      </c>
      <c r="G21" s="25">
        <v>0.11384678667136666</v>
      </c>
      <c r="H21" s="25">
        <v>16.083359999999999</v>
      </c>
      <c r="I21">
        <v>8</v>
      </c>
      <c r="J21">
        <v>1</v>
      </c>
      <c r="K21" t="s">
        <v>407</v>
      </c>
      <c r="L21" t="b">
        <v>0</v>
      </c>
      <c r="M21" t="b">
        <v>0</v>
      </c>
      <c r="N21" t="s">
        <v>223</v>
      </c>
      <c r="O21" t="s">
        <v>222</v>
      </c>
    </row>
    <row r="22" spans="1:15" x14ac:dyDescent="0.25">
      <c r="A22" t="s">
        <v>421</v>
      </c>
      <c r="B22">
        <v>1</v>
      </c>
      <c r="C22">
        <v>2</v>
      </c>
      <c r="D22" s="25">
        <v>9000.0000000000036</v>
      </c>
      <c r="E22" s="25">
        <v>1498.8736468032002</v>
      </c>
      <c r="F22">
        <v>2</v>
      </c>
      <c r="G22" s="25">
        <v>0.1087910377255375</v>
      </c>
      <c r="H22" s="25">
        <v>31.560839999999999</v>
      </c>
      <c r="I22">
        <v>13</v>
      </c>
      <c r="J22">
        <v>1</v>
      </c>
      <c r="K22" t="s">
        <v>421</v>
      </c>
      <c r="L22" t="b">
        <v>0</v>
      </c>
      <c r="M22" t="b">
        <v>0</v>
      </c>
      <c r="N22" t="s">
        <v>223</v>
      </c>
      <c r="O22" t="s">
        <v>222</v>
      </c>
    </row>
    <row r="23" spans="1:15" x14ac:dyDescent="0.25">
      <c r="A23" t="s">
        <v>422</v>
      </c>
      <c r="B23">
        <v>1</v>
      </c>
      <c r="C23">
        <v>2</v>
      </c>
      <c r="D23" s="25">
        <v>8629.637942738831</v>
      </c>
      <c r="E23" s="25">
        <v>1498.8736468013376</v>
      </c>
      <c r="F23">
        <v>2</v>
      </c>
      <c r="G23" s="25">
        <v>0.1175436214356915</v>
      </c>
      <c r="H23" s="25">
        <v>33.975839999999998</v>
      </c>
      <c r="I23">
        <v>13</v>
      </c>
      <c r="J23">
        <v>1</v>
      </c>
      <c r="K23" t="s">
        <v>422</v>
      </c>
      <c r="L23" t="b">
        <v>0</v>
      </c>
      <c r="M23" t="b">
        <v>0</v>
      </c>
      <c r="N23" t="s">
        <v>223</v>
      </c>
      <c r="O23" t="s">
        <v>222</v>
      </c>
    </row>
    <row r="24" spans="1:15" x14ac:dyDescent="0.25">
      <c r="A24" t="s">
        <v>385</v>
      </c>
      <c r="B24">
        <v>2</v>
      </c>
      <c r="C24">
        <v>1</v>
      </c>
      <c r="D24" s="25">
        <v>4482</v>
      </c>
      <c r="E24" s="25">
        <v>1976.6507207881659</v>
      </c>
      <c r="F24">
        <v>1</v>
      </c>
      <c r="G24" s="25">
        <v>3.727133150259495E-2</v>
      </c>
      <c r="H24" s="25">
        <v>9.2953600000000005</v>
      </c>
      <c r="I24">
        <v>4</v>
      </c>
      <c r="J24">
        <v>1</v>
      </c>
      <c r="K24" t="s">
        <v>385</v>
      </c>
      <c r="L24" t="b">
        <v>0</v>
      </c>
      <c r="M24" t="b">
        <v>0</v>
      </c>
      <c r="N24" t="s">
        <v>223</v>
      </c>
      <c r="O24" t="s">
        <v>222</v>
      </c>
    </row>
    <row r="25" spans="1:15" x14ac:dyDescent="0.25">
      <c r="A25" t="s">
        <v>384</v>
      </c>
      <c r="B25">
        <v>4</v>
      </c>
      <c r="C25">
        <v>1</v>
      </c>
      <c r="D25" s="25">
        <v>3281.9999523167462</v>
      </c>
      <c r="E25" s="25">
        <v>1479.5944261904806</v>
      </c>
      <c r="F25">
        <v>1</v>
      </c>
      <c r="G25" s="25">
        <v>3.1644623665017003E-2</v>
      </c>
      <c r="H25" s="25">
        <v>9.2953600000000005</v>
      </c>
      <c r="I25">
        <v>4</v>
      </c>
      <c r="J25">
        <v>1</v>
      </c>
      <c r="K25" t="s">
        <v>384</v>
      </c>
      <c r="L25" t="b">
        <v>0</v>
      </c>
      <c r="M25" t="b">
        <v>0</v>
      </c>
      <c r="N25" t="s">
        <v>223</v>
      </c>
      <c r="O25" t="s">
        <v>222</v>
      </c>
    </row>
    <row r="26" spans="1:15" x14ac:dyDescent="0.25">
      <c r="A26" t="s">
        <v>397</v>
      </c>
      <c r="B26">
        <v>5</v>
      </c>
      <c r="C26">
        <v>1</v>
      </c>
      <c r="D26" s="25">
        <v>3149.995268540652</v>
      </c>
      <c r="E26" s="25">
        <v>1659.8541616909206</v>
      </c>
      <c r="F26">
        <v>1</v>
      </c>
      <c r="G26" s="25">
        <v>3.1791981197558397E-2</v>
      </c>
      <c r="H26" s="25">
        <v>8.2549600000000005</v>
      </c>
      <c r="I26">
        <v>4</v>
      </c>
      <c r="J26">
        <v>1</v>
      </c>
      <c r="K26" t="s">
        <v>397</v>
      </c>
      <c r="L26" t="b">
        <v>0</v>
      </c>
      <c r="M26" t="b">
        <v>0</v>
      </c>
      <c r="N26" t="s">
        <v>223</v>
      </c>
      <c r="O26" t="s">
        <v>222</v>
      </c>
    </row>
    <row r="27" spans="1:15" x14ac:dyDescent="0.25">
      <c r="A27" t="s">
        <v>376</v>
      </c>
      <c r="B27">
        <v>1</v>
      </c>
      <c r="C27">
        <v>1</v>
      </c>
      <c r="D27" s="25">
        <v>1963.9998092651367</v>
      </c>
      <c r="E27" s="25">
        <v>406.75767874903977</v>
      </c>
      <c r="F27">
        <v>2</v>
      </c>
      <c r="G27" s="25">
        <v>1.14452726505053E-2</v>
      </c>
      <c r="H27" s="25">
        <v>4.6532400000000003</v>
      </c>
      <c r="I27">
        <v>4</v>
      </c>
      <c r="J27">
        <v>1</v>
      </c>
      <c r="K27" t="s">
        <v>376</v>
      </c>
      <c r="L27" t="b">
        <v>0</v>
      </c>
      <c r="M27" t="b">
        <v>0</v>
      </c>
      <c r="N27" t="s">
        <v>223</v>
      </c>
      <c r="O27" t="s">
        <v>222</v>
      </c>
    </row>
    <row r="28" spans="1:15" x14ac:dyDescent="0.25">
      <c r="A28" t="s">
        <v>375</v>
      </c>
      <c r="B28">
        <v>1</v>
      </c>
      <c r="C28">
        <v>1</v>
      </c>
      <c r="D28" s="25">
        <v>4363.9999046325684</v>
      </c>
      <c r="E28" s="25">
        <v>903.81397334858775</v>
      </c>
      <c r="F28">
        <v>2</v>
      </c>
      <c r="G28" s="25">
        <v>2.9351470248898202E-2</v>
      </c>
      <c r="H28" s="25">
        <v>8.7903599999999997</v>
      </c>
      <c r="I28">
        <v>8</v>
      </c>
      <c r="J28">
        <v>1</v>
      </c>
      <c r="K28" t="s">
        <v>375</v>
      </c>
      <c r="L28" t="b">
        <v>0</v>
      </c>
      <c r="M28" t="b">
        <v>0</v>
      </c>
      <c r="N28" t="s">
        <v>223</v>
      </c>
      <c r="O28" t="s">
        <v>222</v>
      </c>
    </row>
    <row r="29" spans="1:15" x14ac:dyDescent="0.25">
      <c r="A29" t="s">
        <v>378</v>
      </c>
      <c r="B29">
        <v>1</v>
      </c>
      <c r="C29">
        <v>1</v>
      </c>
      <c r="D29" s="25">
        <v>2763.9998092651367</v>
      </c>
      <c r="E29" s="25">
        <v>572.44310369761661</v>
      </c>
      <c r="F29">
        <v>2</v>
      </c>
      <c r="G29" s="25">
        <v>1.6734931097309402E-2</v>
      </c>
      <c r="H29" s="25">
        <v>5.1602399999999999</v>
      </c>
      <c r="I29">
        <v>4</v>
      </c>
      <c r="J29">
        <v>1</v>
      </c>
      <c r="K29" t="s">
        <v>378</v>
      </c>
      <c r="L29" t="b">
        <v>0</v>
      </c>
      <c r="M29" t="b">
        <v>0</v>
      </c>
      <c r="N29" t="s">
        <v>223</v>
      </c>
      <c r="O29" t="s">
        <v>222</v>
      </c>
    </row>
    <row r="30" spans="1:15" x14ac:dyDescent="0.25">
      <c r="A30" t="s">
        <v>377</v>
      </c>
      <c r="B30">
        <v>1</v>
      </c>
      <c r="C30">
        <v>1</v>
      </c>
      <c r="D30" s="25">
        <v>5163.9999046325684</v>
      </c>
      <c r="E30" s="25">
        <v>1069.4993982966989</v>
      </c>
      <c r="F30">
        <v>2</v>
      </c>
      <c r="G30" s="25">
        <v>3.5598127710202501E-2</v>
      </c>
      <c r="H30" s="25">
        <v>10.33164</v>
      </c>
      <c r="I30">
        <v>8</v>
      </c>
      <c r="J30">
        <v>1</v>
      </c>
      <c r="K30" t="s">
        <v>377</v>
      </c>
      <c r="L30" t="b">
        <v>0</v>
      </c>
      <c r="M30" t="b">
        <v>0</v>
      </c>
      <c r="N30" t="s">
        <v>223</v>
      </c>
      <c r="O30" t="s">
        <v>222</v>
      </c>
    </row>
    <row r="31" spans="1:15" x14ac:dyDescent="0.25">
      <c r="A31" t="s">
        <v>380</v>
      </c>
      <c r="B31">
        <v>1</v>
      </c>
      <c r="C31">
        <v>1</v>
      </c>
      <c r="D31" s="25">
        <v>2463.9998092651367</v>
      </c>
      <c r="E31" s="25">
        <v>600.88650260027498</v>
      </c>
      <c r="F31">
        <v>2</v>
      </c>
      <c r="G31" s="25">
        <v>1.5361463250737501E-2</v>
      </c>
      <c r="H31" s="25">
        <v>4.6532400000000003</v>
      </c>
      <c r="I31">
        <v>4</v>
      </c>
      <c r="J31">
        <v>1</v>
      </c>
      <c r="K31" t="s">
        <v>380</v>
      </c>
      <c r="L31" t="b">
        <v>0</v>
      </c>
      <c r="M31" t="b">
        <v>0</v>
      </c>
      <c r="N31" t="s">
        <v>223</v>
      </c>
      <c r="O31" t="s">
        <v>222</v>
      </c>
    </row>
    <row r="32" spans="1:15" x14ac:dyDescent="0.25">
      <c r="A32" t="s">
        <v>379</v>
      </c>
      <c r="B32">
        <v>1</v>
      </c>
      <c r="C32">
        <v>1</v>
      </c>
      <c r="D32" s="25">
        <v>4863.9999046325684</v>
      </c>
      <c r="E32" s="25">
        <v>1186.1656321352348</v>
      </c>
      <c r="F32">
        <v>2</v>
      </c>
      <c r="G32" s="25">
        <v>3.4940817140413603E-2</v>
      </c>
      <c r="H32" s="25">
        <v>9.2973599999999994</v>
      </c>
      <c r="I32">
        <v>8</v>
      </c>
      <c r="J32">
        <v>1</v>
      </c>
      <c r="K32" t="s">
        <v>379</v>
      </c>
      <c r="L32" t="b">
        <v>0</v>
      </c>
      <c r="M32" t="b">
        <v>0</v>
      </c>
      <c r="N32" t="s">
        <v>223</v>
      </c>
      <c r="O32" t="s">
        <v>222</v>
      </c>
    </row>
    <row r="33" spans="1:15" x14ac:dyDescent="0.25">
      <c r="A33" t="s">
        <v>387</v>
      </c>
      <c r="B33">
        <v>3</v>
      </c>
      <c r="C33">
        <v>1</v>
      </c>
      <c r="D33" s="25">
        <v>2107.4557487552738</v>
      </c>
      <c r="E33" s="25">
        <v>982.53813159093261</v>
      </c>
      <c r="F33">
        <v>1</v>
      </c>
      <c r="G33" s="25">
        <v>1.4892644885419167E-2</v>
      </c>
      <c r="H33" s="25">
        <v>1.5504</v>
      </c>
      <c r="I33">
        <v>1</v>
      </c>
      <c r="J33">
        <v>1</v>
      </c>
      <c r="K33" t="s">
        <v>387</v>
      </c>
      <c r="L33" t="b">
        <v>0</v>
      </c>
      <c r="M33" t="b">
        <v>0</v>
      </c>
      <c r="N33" t="s">
        <v>223</v>
      </c>
      <c r="O33" t="s">
        <v>222</v>
      </c>
    </row>
    <row r="34" spans="1:15" x14ac:dyDescent="0.25">
      <c r="A34" t="s">
        <v>388</v>
      </c>
      <c r="B34">
        <v>3</v>
      </c>
      <c r="C34">
        <v>1</v>
      </c>
      <c r="D34" s="25">
        <v>2107.4557487552738</v>
      </c>
      <c r="E34" s="25">
        <v>485.48183699138463</v>
      </c>
      <c r="F34">
        <v>1</v>
      </c>
      <c r="G34" s="25">
        <v>9.265937047832901E-3</v>
      </c>
      <c r="H34" s="25">
        <v>1.5504</v>
      </c>
      <c r="I34">
        <v>1</v>
      </c>
      <c r="J34">
        <v>1</v>
      </c>
      <c r="K34" t="s">
        <v>388</v>
      </c>
      <c r="L34" t="b">
        <v>0</v>
      </c>
      <c r="M34" t="b">
        <v>0</v>
      </c>
      <c r="N34" t="s">
        <v>223</v>
      </c>
      <c r="O34" t="s">
        <v>222</v>
      </c>
    </row>
    <row r="35" spans="1:15" x14ac:dyDescent="0.25">
      <c r="A35" t="s">
        <v>393</v>
      </c>
      <c r="B35">
        <v>1</v>
      </c>
      <c r="C35">
        <v>1</v>
      </c>
      <c r="D35" s="25">
        <v>1637.4557487552956</v>
      </c>
      <c r="E35" s="25">
        <v>857.98361025005579</v>
      </c>
      <c r="F35">
        <v>1</v>
      </c>
      <c r="G35" s="25">
        <v>1.3355012815879801E-2</v>
      </c>
      <c r="H35" s="25">
        <v>2.3104</v>
      </c>
      <c r="I35">
        <v>1</v>
      </c>
      <c r="J35">
        <v>1</v>
      </c>
      <c r="K35" t="s">
        <v>393</v>
      </c>
      <c r="L35" t="b">
        <v>0</v>
      </c>
      <c r="M35" t="b">
        <v>0</v>
      </c>
      <c r="N35" t="s">
        <v>223</v>
      </c>
      <c r="O35" t="s">
        <v>222</v>
      </c>
    </row>
    <row r="36" spans="1:15" x14ac:dyDescent="0.25">
      <c r="A36" t="s">
        <v>394</v>
      </c>
      <c r="B36">
        <v>1</v>
      </c>
      <c r="C36">
        <v>1</v>
      </c>
      <c r="D36" s="25">
        <v>1637.4557487552956</v>
      </c>
      <c r="E36" s="25">
        <v>360.92731565237045</v>
      </c>
      <c r="F36">
        <v>1</v>
      </c>
      <c r="G36" s="25">
        <v>7.7283049782965003E-3</v>
      </c>
      <c r="H36" s="25">
        <v>2.3104</v>
      </c>
      <c r="I36">
        <v>1</v>
      </c>
      <c r="J36">
        <v>1</v>
      </c>
      <c r="K36" t="s">
        <v>394</v>
      </c>
      <c r="L36" t="b">
        <v>0</v>
      </c>
      <c r="M36" t="b">
        <v>0</v>
      </c>
      <c r="N36" t="s">
        <v>223</v>
      </c>
      <c r="O36" t="s">
        <v>222</v>
      </c>
    </row>
    <row r="37" spans="1:15" x14ac:dyDescent="0.25">
      <c r="A37" t="s">
        <v>399</v>
      </c>
      <c r="B37">
        <v>2</v>
      </c>
      <c r="C37">
        <v>1</v>
      </c>
      <c r="D37" s="25">
        <v>1949.9952208569348</v>
      </c>
      <c r="E37" s="25">
        <v>1062.1593874059618</v>
      </c>
      <c r="F37">
        <v>1</v>
      </c>
      <c r="G37" s="25">
        <v>1.441904537927895E-2</v>
      </c>
      <c r="H37" s="25">
        <v>1.9303999999999999</v>
      </c>
      <c r="I37">
        <v>1</v>
      </c>
      <c r="J37">
        <v>1</v>
      </c>
      <c r="K37" t="s">
        <v>399</v>
      </c>
      <c r="L37" t="b">
        <v>0</v>
      </c>
      <c r="M37" t="b">
        <v>0</v>
      </c>
      <c r="N37" t="s">
        <v>223</v>
      </c>
      <c r="O37" t="s">
        <v>222</v>
      </c>
    </row>
    <row r="38" spans="1:15" x14ac:dyDescent="0.25">
      <c r="A38" t="s">
        <v>386</v>
      </c>
      <c r="B38">
        <v>4</v>
      </c>
      <c r="C38">
        <v>1</v>
      </c>
      <c r="D38" s="25">
        <v>3281.9999523162842</v>
      </c>
      <c r="E38" s="25">
        <v>982.53813159093261</v>
      </c>
      <c r="F38">
        <v>1</v>
      </c>
      <c r="G38" s="25">
        <v>2.406613837295915E-2</v>
      </c>
      <c r="H38" s="25">
        <v>6.9732599999999998</v>
      </c>
      <c r="I38">
        <v>4</v>
      </c>
      <c r="J38">
        <v>1</v>
      </c>
      <c r="K38" t="s">
        <v>386</v>
      </c>
      <c r="L38" t="b">
        <v>0</v>
      </c>
      <c r="M38" t="b">
        <v>0</v>
      </c>
      <c r="N38" t="s">
        <v>223</v>
      </c>
      <c r="O38" t="s">
        <v>222</v>
      </c>
    </row>
    <row r="39" spans="1:15" x14ac:dyDescent="0.25">
      <c r="A39" t="s">
        <v>398</v>
      </c>
      <c r="B39">
        <v>2</v>
      </c>
      <c r="C39">
        <v>1</v>
      </c>
      <c r="D39" s="25">
        <v>3149.995268540652</v>
      </c>
      <c r="E39" s="25">
        <v>1062.1593874059618</v>
      </c>
      <c r="F39">
        <v>1</v>
      </c>
      <c r="G39" s="25">
        <v>2.2233715363767E-2</v>
      </c>
      <c r="H39" s="25">
        <v>6.8361200000000002</v>
      </c>
      <c r="I39">
        <v>3</v>
      </c>
      <c r="J39">
        <v>1</v>
      </c>
      <c r="K39" t="s">
        <v>398</v>
      </c>
      <c r="L39" t="b">
        <v>0</v>
      </c>
      <c r="M39" t="b">
        <v>0</v>
      </c>
      <c r="N39" t="s">
        <v>223</v>
      </c>
      <c r="O39" t="s">
        <v>222</v>
      </c>
    </row>
    <row r="40" spans="1:15" x14ac:dyDescent="0.25">
      <c r="A40" t="s">
        <v>389</v>
      </c>
      <c r="B40">
        <v>4</v>
      </c>
      <c r="C40">
        <v>1</v>
      </c>
      <c r="D40" s="25">
        <v>907.45570107156163</v>
      </c>
      <c r="E40" s="25">
        <v>496.02599287033081</v>
      </c>
      <c r="F40">
        <v>1</v>
      </c>
      <c r="G40" s="25">
        <v>4.4541653387188251E-3</v>
      </c>
      <c r="J40">
        <v>1</v>
      </c>
      <c r="K40" t="s">
        <v>389</v>
      </c>
      <c r="L40" t="b">
        <v>0</v>
      </c>
      <c r="M40" t="b">
        <v>0</v>
      </c>
      <c r="N40" t="s">
        <v>223</v>
      </c>
      <c r="O40" t="s">
        <v>222</v>
      </c>
    </row>
    <row r="41" spans="1:15" x14ac:dyDescent="0.25">
      <c r="A41" t="s">
        <v>400</v>
      </c>
      <c r="B41">
        <v>4</v>
      </c>
      <c r="C41">
        <v>1</v>
      </c>
      <c r="D41" s="25">
        <v>724.53932905050362</v>
      </c>
      <c r="E41" s="25">
        <v>476.88025787100196</v>
      </c>
      <c r="F41">
        <v>1</v>
      </c>
      <c r="G41" s="25">
        <v>3.7266557671570251E-3</v>
      </c>
      <c r="J41">
        <v>1</v>
      </c>
      <c r="K41" t="s">
        <v>400</v>
      </c>
      <c r="L41" t="b">
        <v>0</v>
      </c>
      <c r="M41" t="b">
        <v>0</v>
      </c>
      <c r="N41" t="s">
        <v>223</v>
      </c>
      <c r="O41" t="s">
        <v>222</v>
      </c>
    </row>
    <row r="42" spans="1:15" x14ac:dyDescent="0.25">
      <c r="A42" t="s">
        <v>383</v>
      </c>
      <c r="B42">
        <v>3</v>
      </c>
      <c r="C42">
        <v>1</v>
      </c>
      <c r="D42" s="25">
        <v>6302.5051865560526</v>
      </c>
      <c r="E42" s="25">
        <v>1961.624225769192</v>
      </c>
      <c r="F42">
        <v>1</v>
      </c>
      <c r="G42" s="25">
        <v>2.8590287715371032E-2</v>
      </c>
      <c r="J42">
        <v>1</v>
      </c>
      <c r="K42" t="s">
        <v>383</v>
      </c>
      <c r="L42" t="b">
        <v>0</v>
      </c>
      <c r="M42" t="b">
        <v>0</v>
      </c>
      <c r="N42" t="s">
        <v>223</v>
      </c>
      <c r="O42" t="s">
        <v>222</v>
      </c>
    </row>
    <row r="43" spans="1:15" x14ac:dyDescent="0.25">
      <c r="A43" t="s">
        <v>392</v>
      </c>
      <c r="B43">
        <v>1</v>
      </c>
      <c r="C43">
        <v>1</v>
      </c>
      <c r="D43" s="25">
        <v>5754.8197616069083</v>
      </c>
      <c r="E43" s="25">
        <v>1801.2108787558973</v>
      </c>
      <c r="F43">
        <v>1</v>
      </c>
      <c r="G43" s="25">
        <v>2.6118040833078799E-2</v>
      </c>
      <c r="J43">
        <v>1</v>
      </c>
      <c r="K43" t="s">
        <v>392</v>
      </c>
      <c r="L43" t="b">
        <v>0</v>
      </c>
      <c r="M43" t="b">
        <v>0</v>
      </c>
      <c r="N43" t="s">
        <v>223</v>
      </c>
      <c r="O43" t="s">
        <v>222</v>
      </c>
    </row>
    <row r="44" spans="1:15" x14ac:dyDescent="0.25">
      <c r="A44" t="s">
        <v>396</v>
      </c>
      <c r="B44">
        <v>2</v>
      </c>
      <c r="C44">
        <v>1</v>
      </c>
      <c r="D44" s="25">
        <v>4418.7660301812693</v>
      </c>
      <c r="E44" s="25">
        <v>1641.3555382229388</v>
      </c>
      <c r="F44">
        <v>1</v>
      </c>
      <c r="G44" s="25">
        <v>2.041434959280845E-2</v>
      </c>
      <c r="J44">
        <v>1</v>
      </c>
      <c r="K44" t="s">
        <v>396</v>
      </c>
      <c r="L44" t="b">
        <v>0</v>
      </c>
      <c r="M44" t="b">
        <v>0</v>
      </c>
      <c r="N44" t="s">
        <v>223</v>
      </c>
      <c r="O44" t="s">
        <v>222</v>
      </c>
    </row>
    <row r="45" spans="1:15" x14ac:dyDescent="0.25">
      <c r="A45" t="s">
        <v>401</v>
      </c>
      <c r="B45">
        <v>2</v>
      </c>
      <c r="C45">
        <v>1</v>
      </c>
      <c r="D45" s="25">
        <v>1000</v>
      </c>
      <c r="E45" s="25">
        <v>111</v>
      </c>
      <c r="F45">
        <v>0</v>
      </c>
      <c r="G45" s="25">
        <v>4.3319999999999999E-3</v>
      </c>
      <c r="J45">
        <v>1</v>
      </c>
      <c r="K45" t="s">
        <v>401</v>
      </c>
      <c r="L45" t="b">
        <v>0</v>
      </c>
      <c r="M45" t="b">
        <v>0</v>
      </c>
      <c r="N45" t="s">
        <v>223</v>
      </c>
      <c r="O45" t="s">
        <v>222</v>
      </c>
    </row>
    <row r="46" spans="1:15" x14ac:dyDescent="0.25">
      <c r="A46" t="s">
        <v>402</v>
      </c>
      <c r="B46">
        <v>2</v>
      </c>
      <c r="C46">
        <v>1</v>
      </c>
      <c r="D46" s="25">
        <v>1000.0000000000002</v>
      </c>
      <c r="E46" s="25">
        <v>111</v>
      </c>
      <c r="F46">
        <v>0</v>
      </c>
      <c r="G46" s="25">
        <v>4.3319999999999999E-3</v>
      </c>
      <c r="J46">
        <v>1</v>
      </c>
      <c r="K46" t="s">
        <v>402</v>
      </c>
      <c r="L46" t="b">
        <v>0</v>
      </c>
      <c r="M46" t="b">
        <v>0</v>
      </c>
      <c r="N46" t="s">
        <v>223</v>
      </c>
      <c r="O46" t="s">
        <v>222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imbers"/>
  <dimension ref="A1:S192"/>
  <sheetViews>
    <sheetView zoomScaleNormal="100" workbookViewId="0">
      <selection activeCell="K1" sqref="K1"/>
    </sheetView>
  </sheetViews>
  <sheetFormatPr defaultRowHeight="13.2" x14ac:dyDescent="0.25"/>
  <cols>
    <col min="1" max="3" width="9.88671875" style="1" customWidth="1"/>
    <col min="4" max="4" width="12.5546875" style="1" customWidth="1"/>
    <col min="5" max="5" width="12.109375" style="1" customWidth="1"/>
    <col min="6" max="6" width="15.5546875" style="25" bestFit="1" customWidth="1"/>
    <col min="7" max="7" width="14.44140625" style="1" bestFit="1" customWidth="1"/>
    <col min="8" max="8" width="10.6640625" style="1" bestFit="1" customWidth="1"/>
    <col min="9" max="9" width="9.88671875" style="1" customWidth="1"/>
    <col min="10" max="10" width="19" style="8" customWidth="1"/>
    <col min="11" max="11" width="13.88671875" style="8" customWidth="1"/>
    <col min="12" max="12" width="16.6640625" style="12" customWidth="1"/>
    <col min="13" max="13" width="11.44140625" style="1" bestFit="1" customWidth="1"/>
    <col min="14" max="14" width="13.44140625" style="1" bestFit="1" customWidth="1"/>
    <col min="15" max="15" width="5.6640625" bestFit="1" customWidth="1"/>
    <col min="16" max="16" width="10.44140625" customWidth="1"/>
    <col min="17" max="17" width="11.44140625" customWidth="1"/>
    <col min="18" max="19" width="11.5546875" style="5" customWidth="1"/>
    <col min="20" max="258" width="11.44140625" customWidth="1"/>
  </cols>
  <sheetData>
    <row r="1" spans="1:19" s="15" customFormat="1" x14ac:dyDescent="0.25">
      <c r="A1" s="17" t="s">
        <v>34</v>
      </c>
      <c r="B1" s="17" t="s">
        <v>26</v>
      </c>
      <c r="C1" s="17" t="s">
        <v>75</v>
      </c>
      <c r="D1" s="17" t="s">
        <v>128</v>
      </c>
      <c r="E1" s="17" t="s">
        <v>27</v>
      </c>
      <c r="F1" s="26" t="s">
        <v>49</v>
      </c>
      <c r="G1" s="17" t="s">
        <v>50</v>
      </c>
      <c r="H1" s="17" t="s">
        <v>51</v>
      </c>
      <c r="I1" s="17" t="s">
        <v>35</v>
      </c>
      <c r="J1" s="17" t="s">
        <v>40</v>
      </c>
      <c r="K1" s="17" t="s">
        <v>142</v>
      </c>
      <c r="L1" s="18" t="s">
        <v>181</v>
      </c>
      <c r="M1" s="17" t="s">
        <v>47</v>
      </c>
      <c r="N1" s="17" t="s">
        <v>62</v>
      </c>
      <c r="P1" s="14"/>
      <c r="R1" s="16"/>
      <c r="S1" s="16"/>
    </row>
    <row r="2" spans="1:19" x14ac:dyDescent="0.25">
      <c r="A2" s="1" t="s">
        <v>402</v>
      </c>
      <c r="B2" s="1" t="s">
        <v>402</v>
      </c>
      <c r="C2" s="1">
        <v>2</v>
      </c>
      <c r="D2" s="1">
        <v>2</v>
      </c>
      <c r="E2" s="1" t="s">
        <v>431</v>
      </c>
      <c r="F2" s="25">
        <v>1.0000000000000002</v>
      </c>
      <c r="G2" s="1">
        <v>36</v>
      </c>
      <c r="H2" s="1">
        <v>111</v>
      </c>
      <c r="I2" s="1" t="s">
        <v>436</v>
      </c>
      <c r="J2" s="8" t="s">
        <v>438</v>
      </c>
      <c r="L2" s="12">
        <v>4134.3500000000004</v>
      </c>
      <c r="M2" s="1">
        <v>1</v>
      </c>
      <c r="N2" s="1">
        <v>0</v>
      </c>
      <c r="P2" s="1"/>
    </row>
    <row r="3" spans="1:19" x14ac:dyDescent="0.25">
      <c r="A3" s="1" t="s">
        <v>395</v>
      </c>
      <c r="B3" s="1" t="s">
        <v>402</v>
      </c>
      <c r="C3" s="1">
        <v>3</v>
      </c>
      <c r="D3" s="1">
        <v>3</v>
      </c>
      <c r="E3" s="1" t="s">
        <v>431</v>
      </c>
      <c r="F3" s="25">
        <v>5.8</v>
      </c>
      <c r="G3" s="1">
        <v>36</v>
      </c>
      <c r="H3" s="1">
        <v>111</v>
      </c>
      <c r="I3" s="1" t="s">
        <v>436</v>
      </c>
      <c r="J3" s="8" t="s">
        <v>438</v>
      </c>
      <c r="L3" s="12">
        <v>4861.5</v>
      </c>
      <c r="M3" s="1">
        <v>1</v>
      </c>
      <c r="N3" s="1">
        <v>0</v>
      </c>
      <c r="P3" s="1"/>
    </row>
    <row r="4" spans="1:19" x14ac:dyDescent="0.25">
      <c r="A4" s="1" t="s">
        <v>395</v>
      </c>
      <c r="B4" s="1" t="s">
        <v>423</v>
      </c>
      <c r="C4" s="1">
        <v>3</v>
      </c>
      <c r="D4" s="1">
        <v>3</v>
      </c>
      <c r="E4" s="1" t="s">
        <v>431</v>
      </c>
      <c r="F4" s="25">
        <v>3.6</v>
      </c>
      <c r="G4" s="1">
        <v>36</v>
      </c>
      <c r="H4" s="1">
        <v>111</v>
      </c>
      <c r="I4" s="1" t="s">
        <v>436</v>
      </c>
      <c r="J4" s="8" t="s">
        <v>438</v>
      </c>
      <c r="L4" s="12">
        <v>4538.32</v>
      </c>
      <c r="M4" s="1">
        <v>1</v>
      </c>
      <c r="N4" s="1">
        <v>0</v>
      </c>
      <c r="P4" s="1"/>
    </row>
    <row r="5" spans="1:19" x14ac:dyDescent="0.25">
      <c r="A5" s="1" t="s">
        <v>395</v>
      </c>
      <c r="B5" s="1" t="s">
        <v>364</v>
      </c>
      <c r="C5" s="1">
        <v>6</v>
      </c>
      <c r="D5" s="1">
        <v>6</v>
      </c>
      <c r="E5" s="1" t="s">
        <v>432</v>
      </c>
      <c r="F5" s="25">
        <v>5.7284082137544798</v>
      </c>
      <c r="G5" s="1">
        <v>36</v>
      </c>
      <c r="H5" s="1">
        <v>111</v>
      </c>
      <c r="I5" s="1" t="s">
        <v>436</v>
      </c>
      <c r="J5" s="8" t="s">
        <v>438</v>
      </c>
      <c r="L5" s="12">
        <v>4861.5</v>
      </c>
      <c r="M5" s="1">
        <v>1</v>
      </c>
      <c r="N5" s="1">
        <v>0</v>
      </c>
      <c r="P5" s="1"/>
    </row>
    <row r="6" spans="1:19" x14ac:dyDescent="0.25">
      <c r="A6" s="1" t="s">
        <v>395</v>
      </c>
      <c r="B6" s="1" t="s">
        <v>424</v>
      </c>
      <c r="C6" s="1">
        <v>3</v>
      </c>
      <c r="D6" s="1">
        <v>3</v>
      </c>
      <c r="E6" s="1" t="s">
        <v>433</v>
      </c>
      <c r="F6" s="25">
        <v>2.2236220399977467</v>
      </c>
      <c r="G6" s="1">
        <v>36</v>
      </c>
      <c r="H6" s="1">
        <v>73</v>
      </c>
      <c r="I6" s="1" t="s">
        <v>436</v>
      </c>
      <c r="J6" s="8" t="s">
        <v>439</v>
      </c>
      <c r="L6" s="12">
        <v>3995.84</v>
      </c>
      <c r="M6" s="1">
        <v>1</v>
      </c>
      <c r="N6" s="1">
        <v>0</v>
      </c>
      <c r="P6" s="1"/>
    </row>
    <row r="7" spans="1:19" x14ac:dyDescent="0.25">
      <c r="A7" s="1" t="s">
        <v>395</v>
      </c>
      <c r="B7" s="1" t="s">
        <v>425</v>
      </c>
      <c r="C7" s="1">
        <v>6</v>
      </c>
      <c r="D7" s="1">
        <v>6</v>
      </c>
      <c r="E7" s="1" t="s">
        <v>433</v>
      </c>
      <c r="F7" s="25">
        <v>2.1116811671159939</v>
      </c>
      <c r="G7" s="1">
        <v>36</v>
      </c>
      <c r="H7" s="1">
        <v>73</v>
      </c>
      <c r="I7" s="1" t="s">
        <v>436</v>
      </c>
      <c r="J7" s="8" t="s">
        <v>439</v>
      </c>
      <c r="L7" s="12">
        <v>3995.84</v>
      </c>
      <c r="M7" s="1">
        <v>1</v>
      </c>
      <c r="N7" s="1">
        <v>0</v>
      </c>
      <c r="P7" s="1"/>
    </row>
    <row r="8" spans="1:19" x14ac:dyDescent="0.25">
      <c r="A8" s="1" t="s">
        <v>395</v>
      </c>
      <c r="B8" s="1" t="s">
        <v>426</v>
      </c>
      <c r="C8" s="1">
        <v>6</v>
      </c>
      <c r="D8" s="1">
        <v>6</v>
      </c>
      <c r="E8" s="1" t="s">
        <v>433</v>
      </c>
      <c r="F8" s="25">
        <v>1.4632169328133537</v>
      </c>
      <c r="G8" s="1">
        <v>36</v>
      </c>
      <c r="H8" s="1">
        <v>73</v>
      </c>
      <c r="I8" s="1" t="s">
        <v>436</v>
      </c>
      <c r="J8" s="8" t="s">
        <v>439</v>
      </c>
      <c r="L8" s="12">
        <v>3995.84</v>
      </c>
      <c r="M8" s="1">
        <v>1</v>
      </c>
      <c r="N8" s="1">
        <v>0</v>
      </c>
    </row>
    <row r="9" spans="1:19" x14ac:dyDescent="0.25">
      <c r="A9" s="1" t="s">
        <v>395</v>
      </c>
      <c r="B9" s="1" t="s">
        <v>427</v>
      </c>
      <c r="C9" s="1">
        <v>6</v>
      </c>
      <c r="D9" s="1">
        <v>6</v>
      </c>
      <c r="E9" s="1" t="s">
        <v>433</v>
      </c>
      <c r="F9" s="25">
        <v>1.6695603290088334</v>
      </c>
      <c r="G9" s="1">
        <v>36</v>
      </c>
      <c r="H9" s="1">
        <v>73</v>
      </c>
      <c r="I9" s="1" t="s">
        <v>436</v>
      </c>
      <c r="J9" s="8" t="s">
        <v>439</v>
      </c>
      <c r="L9" s="12">
        <v>3995.84</v>
      </c>
      <c r="M9" s="1">
        <v>1</v>
      </c>
      <c r="N9" s="1">
        <v>0</v>
      </c>
    </row>
    <row r="10" spans="1:19" x14ac:dyDescent="0.25">
      <c r="A10" s="1" t="s">
        <v>395</v>
      </c>
      <c r="B10" s="1" t="s">
        <v>428</v>
      </c>
      <c r="C10" s="1">
        <v>6</v>
      </c>
      <c r="D10" s="1">
        <v>6</v>
      </c>
      <c r="E10" s="1" t="s">
        <v>433</v>
      </c>
      <c r="F10" s="25">
        <v>0.68500958614723428</v>
      </c>
      <c r="G10" s="1">
        <v>36</v>
      </c>
      <c r="H10" s="1">
        <v>73</v>
      </c>
      <c r="I10" s="1" t="s">
        <v>436</v>
      </c>
      <c r="J10" s="8" t="s">
        <v>439</v>
      </c>
      <c r="L10" s="12">
        <v>1117.52</v>
      </c>
      <c r="M10" s="1">
        <v>1</v>
      </c>
      <c r="N10" s="1">
        <v>0</v>
      </c>
    </row>
    <row r="11" spans="1:19" x14ac:dyDescent="0.25">
      <c r="A11" s="1" t="s">
        <v>373</v>
      </c>
      <c r="B11" s="1" t="s">
        <v>402</v>
      </c>
      <c r="C11" s="1">
        <v>4</v>
      </c>
      <c r="D11" s="1">
        <v>4</v>
      </c>
      <c r="E11" s="1" t="s">
        <v>431</v>
      </c>
      <c r="F11" s="25">
        <v>4.8</v>
      </c>
      <c r="G11" s="1">
        <v>36</v>
      </c>
      <c r="H11" s="1">
        <v>111</v>
      </c>
      <c r="I11" s="1" t="s">
        <v>436</v>
      </c>
      <c r="J11" s="8" t="s">
        <v>438</v>
      </c>
      <c r="L11" s="12">
        <v>4538.32</v>
      </c>
      <c r="M11" s="1">
        <v>1</v>
      </c>
      <c r="N11" s="1">
        <v>0</v>
      </c>
    </row>
    <row r="12" spans="1:19" x14ac:dyDescent="0.25">
      <c r="A12" s="1" t="s">
        <v>373</v>
      </c>
      <c r="B12" s="1" t="s">
        <v>423</v>
      </c>
      <c r="C12" s="1">
        <v>4</v>
      </c>
      <c r="D12" s="1">
        <v>4</v>
      </c>
      <c r="E12" s="1" t="s">
        <v>431</v>
      </c>
      <c r="F12" s="25">
        <v>2.0000000000000044</v>
      </c>
      <c r="G12" s="1">
        <v>36</v>
      </c>
      <c r="H12" s="1">
        <v>111</v>
      </c>
      <c r="I12" s="1" t="s">
        <v>436</v>
      </c>
      <c r="J12" s="8" t="s">
        <v>438</v>
      </c>
      <c r="L12" s="12">
        <v>4134.3500000000004</v>
      </c>
      <c r="M12" s="1">
        <v>1</v>
      </c>
      <c r="N12" s="1">
        <v>0</v>
      </c>
    </row>
    <row r="13" spans="1:19" x14ac:dyDescent="0.25">
      <c r="A13" s="1" t="s">
        <v>373</v>
      </c>
      <c r="B13" s="1" t="s">
        <v>364</v>
      </c>
      <c r="C13" s="1">
        <v>8</v>
      </c>
      <c r="D13" s="1">
        <v>8</v>
      </c>
      <c r="E13" s="1" t="s">
        <v>432</v>
      </c>
      <c r="F13" s="25">
        <v>3.8178513017875511</v>
      </c>
      <c r="G13" s="1">
        <v>36</v>
      </c>
      <c r="H13" s="1">
        <v>111</v>
      </c>
      <c r="I13" s="1" t="s">
        <v>436</v>
      </c>
      <c r="J13" s="8" t="s">
        <v>438</v>
      </c>
      <c r="L13" s="12">
        <v>4538.32</v>
      </c>
      <c r="M13" s="1">
        <v>1</v>
      </c>
      <c r="N13" s="1">
        <v>0</v>
      </c>
    </row>
    <row r="14" spans="1:19" x14ac:dyDescent="0.25">
      <c r="A14" s="1" t="s">
        <v>373</v>
      </c>
      <c r="B14" s="1" t="s">
        <v>424</v>
      </c>
      <c r="C14" s="1">
        <v>4</v>
      </c>
      <c r="D14" s="1">
        <v>4</v>
      </c>
      <c r="E14" s="1" t="s">
        <v>433</v>
      </c>
      <c r="F14" s="25">
        <v>1.3384570156799527</v>
      </c>
      <c r="G14" s="1">
        <v>36</v>
      </c>
      <c r="H14" s="1">
        <v>73</v>
      </c>
      <c r="I14" s="1" t="s">
        <v>436</v>
      </c>
      <c r="J14" s="8" t="s">
        <v>439</v>
      </c>
      <c r="L14" s="12">
        <v>3995.84</v>
      </c>
      <c r="M14" s="1">
        <v>1</v>
      </c>
      <c r="N14" s="1">
        <v>0</v>
      </c>
    </row>
    <row r="15" spans="1:19" x14ac:dyDescent="0.25">
      <c r="A15" s="1" t="s">
        <v>373</v>
      </c>
      <c r="B15" s="1" t="s">
        <v>425</v>
      </c>
      <c r="C15" s="1">
        <v>8</v>
      </c>
      <c r="D15" s="1">
        <v>8</v>
      </c>
      <c r="E15" s="1" t="s">
        <v>433</v>
      </c>
      <c r="F15" s="25">
        <v>1.7906987787575814</v>
      </c>
      <c r="G15" s="1">
        <v>36</v>
      </c>
      <c r="H15" s="1">
        <v>73</v>
      </c>
      <c r="I15" s="1" t="s">
        <v>436</v>
      </c>
      <c r="J15" s="8" t="s">
        <v>439</v>
      </c>
      <c r="L15" s="12">
        <v>3995.84</v>
      </c>
      <c r="M15" s="1">
        <v>1</v>
      </c>
      <c r="N15" s="1">
        <v>0</v>
      </c>
    </row>
    <row r="16" spans="1:19" x14ac:dyDescent="0.25">
      <c r="A16" s="1" t="s">
        <v>373</v>
      </c>
      <c r="B16" s="1" t="s">
        <v>426</v>
      </c>
      <c r="C16" s="1">
        <v>8</v>
      </c>
      <c r="D16" s="1">
        <v>8</v>
      </c>
      <c r="E16" s="1" t="s">
        <v>433</v>
      </c>
      <c r="F16" s="25">
        <v>0.62884730286634993</v>
      </c>
      <c r="G16" s="1">
        <v>36</v>
      </c>
      <c r="H16" s="1">
        <v>73</v>
      </c>
      <c r="I16" s="1" t="s">
        <v>436</v>
      </c>
      <c r="J16" s="8" t="s">
        <v>439</v>
      </c>
      <c r="L16" s="12">
        <v>1117.52</v>
      </c>
      <c r="M16" s="1">
        <v>1</v>
      </c>
      <c r="N16" s="1">
        <v>0</v>
      </c>
    </row>
    <row r="17" spans="1:14" x14ac:dyDescent="0.25">
      <c r="A17" s="1" t="s">
        <v>383</v>
      </c>
      <c r="B17" s="1" t="s">
        <v>364</v>
      </c>
      <c r="C17" s="1">
        <v>3</v>
      </c>
      <c r="D17" s="1">
        <v>3</v>
      </c>
      <c r="E17" s="1" t="s">
        <v>432</v>
      </c>
      <c r="F17" s="25">
        <v>6.599789407980384</v>
      </c>
      <c r="G17" s="1">
        <v>36</v>
      </c>
      <c r="H17" s="1">
        <v>111</v>
      </c>
      <c r="I17" s="1" t="s">
        <v>436</v>
      </c>
      <c r="J17" s="8" t="s">
        <v>438</v>
      </c>
      <c r="L17" s="12">
        <v>4861.5</v>
      </c>
      <c r="M17" s="1">
        <v>1</v>
      </c>
      <c r="N17" s="1">
        <v>0</v>
      </c>
    </row>
    <row r="18" spans="1:14" x14ac:dyDescent="0.25">
      <c r="A18" s="1" t="s">
        <v>392</v>
      </c>
      <c r="B18" s="1" t="s">
        <v>364</v>
      </c>
      <c r="C18" s="1">
        <v>1</v>
      </c>
      <c r="D18" s="1">
        <v>1</v>
      </c>
      <c r="E18" s="1" t="s">
        <v>432</v>
      </c>
      <c r="F18" s="25">
        <v>6.0290952984946342</v>
      </c>
      <c r="G18" s="1">
        <v>36</v>
      </c>
      <c r="H18" s="1">
        <v>111</v>
      </c>
      <c r="I18" s="1" t="s">
        <v>437</v>
      </c>
      <c r="J18" s="8" t="s">
        <v>440</v>
      </c>
      <c r="L18" s="12">
        <v>5824.1</v>
      </c>
      <c r="M18" s="1">
        <v>1</v>
      </c>
      <c r="N18" s="1">
        <v>0</v>
      </c>
    </row>
    <row r="19" spans="1:14" x14ac:dyDescent="0.25">
      <c r="A19" s="1" t="s">
        <v>396</v>
      </c>
      <c r="B19" s="1" t="s">
        <v>364</v>
      </c>
      <c r="C19" s="1">
        <v>2</v>
      </c>
      <c r="D19" s="1">
        <v>2</v>
      </c>
      <c r="E19" s="1" t="s">
        <v>432</v>
      </c>
      <c r="F19" s="25">
        <v>4.7124537379520879</v>
      </c>
      <c r="G19" s="1">
        <v>36</v>
      </c>
      <c r="H19" s="1">
        <v>111</v>
      </c>
      <c r="I19" s="1" t="s">
        <v>436</v>
      </c>
      <c r="J19" s="8" t="s">
        <v>438</v>
      </c>
      <c r="L19" s="12">
        <v>4538.32</v>
      </c>
      <c r="M19" s="1">
        <v>1</v>
      </c>
      <c r="N19" s="1">
        <v>0</v>
      </c>
    </row>
    <row r="20" spans="1:14" x14ac:dyDescent="0.25">
      <c r="A20" s="1" t="s">
        <v>382</v>
      </c>
      <c r="B20" s="1" t="s">
        <v>402</v>
      </c>
      <c r="C20" s="1">
        <v>2</v>
      </c>
      <c r="D20" s="1">
        <v>2</v>
      </c>
      <c r="E20" s="1" t="s">
        <v>431</v>
      </c>
      <c r="F20" s="25">
        <v>6.6</v>
      </c>
      <c r="G20" s="1">
        <v>36</v>
      </c>
      <c r="H20" s="1">
        <v>111</v>
      </c>
      <c r="I20" s="1" t="s">
        <v>436</v>
      </c>
      <c r="J20" s="8" t="s">
        <v>438</v>
      </c>
      <c r="L20" s="12">
        <v>4861.5</v>
      </c>
      <c r="M20" s="1">
        <v>1</v>
      </c>
      <c r="N20" s="1">
        <v>0</v>
      </c>
    </row>
    <row r="21" spans="1:14" x14ac:dyDescent="0.25">
      <c r="A21" s="1" t="s">
        <v>382</v>
      </c>
      <c r="B21" s="1" t="s">
        <v>423</v>
      </c>
      <c r="C21" s="1">
        <v>2</v>
      </c>
      <c r="D21" s="1">
        <v>2</v>
      </c>
      <c r="E21" s="1" t="s">
        <v>431</v>
      </c>
      <c r="F21" s="25">
        <v>1.6000000000000036</v>
      </c>
      <c r="G21" s="1">
        <v>36</v>
      </c>
      <c r="H21" s="1">
        <v>111</v>
      </c>
      <c r="I21" s="1" t="s">
        <v>436</v>
      </c>
      <c r="J21" s="8" t="s">
        <v>438</v>
      </c>
      <c r="L21" s="12">
        <v>4134.3500000000004</v>
      </c>
      <c r="M21" s="1">
        <v>1</v>
      </c>
      <c r="N21" s="1">
        <v>0</v>
      </c>
    </row>
    <row r="22" spans="1:14" x14ac:dyDescent="0.25">
      <c r="A22" s="1" t="s">
        <v>382</v>
      </c>
      <c r="B22" s="1" t="s">
        <v>364</v>
      </c>
      <c r="C22" s="1">
        <v>4</v>
      </c>
      <c r="D22" s="1">
        <v>4</v>
      </c>
      <c r="E22" s="1" t="s">
        <v>432</v>
      </c>
      <c r="F22" s="25">
        <v>3.6487678864621769</v>
      </c>
      <c r="G22" s="1">
        <v>36</v>
      </c>
      <c r="H22" s="1">
        <v>111</v>
      </c>
      <c r="I22" s="1" t="s">
        <v>436</v>
      </c>
      <c r="J22" s="8" t="s">
        <v>438</v>
      </c>
      <c r="L22" s="12">
        <v>4538.32</v>
      </c>
      <c r="M22" s="1">
        <v>1</v>
      </c>
      <c r="N22" s="1">
        <v>0</v>
      </c>
    </row>
    <row r="23" spans="1:14" x14ac:dyDescent="0.25">
      <c r="A23" s="1" t="s">
        <v>382</v>
      </c>
      <c r="B23" s="1" t="s">
        <v>365</v>
      </c>
      <c r="C23" s="1">
        <v>2</v>
      </c>
      <c r="D23" s="1">
        <v>2</v>
      </c>
      <c r="E23" s="1" t="s">
        <v>432</v>
      </c>
      <c r="F23" s="25">
        <v>2.7575733418757662</v>
      </c>
      <c r="G23" s="1">
        <v>36</v>
      </c>
      <c r="H23" s="1">
        <v>111</v>
      </c>
      <c r="I23" s="1" t="s">
        <v>436</v>
      </c>
      <c r="J23" s="8" t="s">
        <v>438</v>
      </c>
      <c r="L23" s="12">
        <v>4538.32</v>
      </c>
      <c r="M23" s="1">
        <v>1</v>
      </c>
      <c r="N23" s="1">
        <v>0</v>
      </c>
    </row>
    <row r="24" spans="1:14" x14ac:dyDescent="0.25">
      <c r="A24" s="1" t="s">
        <v>382</v>
      </c>
      <c r="B24" s="1" t="s">
        <v>424</v>
      </c>
      <c r="C24" s="1">
        <v>2</v>
      </c>
      <c r="D24" s="1">
        <v>2</v>
      </c>
      <c r="E24" s="1" t="s">
        <v>433</v>
      </c>
      <c r="F24" s="25">
        <v>1.01289437061888</v>
      </c>
      <c r="G24" s="1">
        <v>36</v>
      </c>
      <c r="H24" s="1">
        <v>73</v>
      </c>
      <c r="I24" s="1" t="s">
        <v>436</v>
      </c>
      <c r="J24" s="8" t="s">
        <v>439</v>
      </c>
      <c r="L24" s="12">
        <v>3995.84</v>
      </c>
      <c r="M24" s="1">
        <v>1</v>
      </c>
      <c r="N24" s="1">
        <v>0</v>
      </c>
    </row>
    <row r="25" spans="1:14" x14ac:dyDescent="0.25">
      <c r="A25" s="1" t="s">
        <v>382</v>
      </c>
      <c r="B25" s="1" t="s">
        <v>425</v>
      </c>
      <c r="C25" s="1">
        <v>4</v>
      </c>
      <c r="D25" s="1">
        <v>4</v>
      </c>
      <c r="E25" s="1" t="s">
        <v>433</v>
      </c>
      <c r="F25" s="25">
        <v>1.6815732255879292</v>
      </c>
      <c r="G25" s="1">
        <v>36</v>
      </c>
      <c r="H25" s="1">
        <v>73</v>
      </c>
      <c r="I25" s="1" t="s">
        <v>436</v>
      </c>
      <c r="J25" s="8" t="s">
        <v>439</v>
      </c>
      <c r="L25" s="12">
        <v>3995.84</v>
      </c>
      <c r="M25" s="1">
        <v>1</v>
      </c>
      <c r="N25" s="1">
        <v>0</v>
      </c>
    </row>
    <row r="26" spans="1:14" x14ac:dyDescent="0.25">
      <c r="A26" s="1" t="s">
        <v>382</v>
      </c>
      <c r="B26" s="1" t="s">
        <v>426</v>
      </c>
      <c r="C26" s="1">
        <v>4</v>
      </c>
      <c r="D26" s="1">
        <v>4</v>
      </c>
      <c r="E26" s="1" t="s">
        <v>433</v>
      </c>
      <c r="F26" s="25">
        <v>1.0572943706195908</v>
      </c>
      <c r="G26" s="1">
        <v>36</v>
      </c>
      <c r="H26" s="1">
        <v>73</v>
      </c>
      <c r="I26" s="1" t="s">
        <v>436</v>
      </c>
      <c r="J26" s="8" t="s">
        <v>439</v>
      </c>
      <c r="L26" s="12">
        <v>3995.84</v>
      </c>
      <c r="M26" s="1">
        <v>1</v>
      </c>
      <c r="N26" s="1">
        <v>0</v>
      </c>
    </row>
    <row r="27" spans="1:14" x14ac:dyDescent="0.25">
      <c r="A27" s="1" t="s">
        <v>382</v>
      </c>
      <c r="B27" s="1" t="s">
        <v>427</v>
      </c>
      <c r="C27" s="1">
        <v>4</v>
      </c>
      <c r="D27" s="1">
        <v>4</v>
      </c>
      <c r="E27" s="1" t="s">
        <v>433</v>
      </c>
      <c r="F27" s="25">
        <v>1.4323008586872064</v>
      </c>
      <c r="G27" s="1">
        <v>36</v>
      </c>
      <c r="H27" s="1">
        <v>73</v>
      </c>
      <c r="I27" s="1" t="s">
        <v>436</v>
      </c>
      <c r="J27" s="8" t="s">
        <v>439</v>
      </c>
      <c r="L27" s="12">
        <v>3995.84</v>
      </c>
      <c r="M27" s="1">
        <v>1</v>
      </c>
      <c r="N27" s="1">
        <v>0</v>
      </c>
    </row>
    <row r="28" spans="1:14" x14ac:dyDescent="0.25">
      <c r="A28" s="1" t="s">
        <v>382</v>
      </c>
      <c r="B28" s="1" t="s">
        <v>428</v>
      </c>
      <c r="C28" s="1">
        <v>4</v>
      </c>
      <c r="D28" s="1">
        <v>4</v>
      </c>
      <c r="E28" s="1" t="s">
        <v>433</v>
      </c>
      <c r="F28" s="25">
        <v>0.4660659803363647</v>
      </c>
      <c r="G28" s="1">
        <v>36</v>
      </c>
      <c r="H28" s="1">
        <v>73</v>
      </c>
      <c r="I28" s="1" t="s">
        <v>436</v>
      </c>
      <c r="J28" s="8" t="s">
        <v>439</v>
      </c>
      <c r="L28" s="12">
        <v>1117.52</v>
      </c>
      <c r="M28" s="1">
        <v>1</v>
      </c>
      <c r="N28" s="1">
        <v>0</v>
      </c>
    </row>
    <row r="29" spans="1:14" x14ac:dyDescent="0.25">
      <c r="A29" s="1" t="s">
        <v>391</v>
      </c>
      <c r="B29" s="1" t="s">
        <v>402</v>
      </c>
      <c r="C29" s="1">
        <v>2</v>
      </c>
      <c r="D29" s="1">
        <v>2</v>
      </c>
      <c r="E29" s="1" t="s">
        <v>431</v>
      </c>
      <c r="F29" s="25">
        <v>6.33</v>
      </c>
      <c r="G29" s="1">
        <v>36</v>
      </c>
      <c r="H29" s="1">
        <v>149</v>
      </c>
      <c r="I29" s="1" t="s">
        <v>436</v>
      </c>
      <c r="J29" s="8" t="s">
        <v>441</v>
      </c>
      <c r="L29" s="12">
        <v>4859.76</v>
      </c>
      <c r="M29" s="1">
        <v>1</v>
      </c>
      <c r="N29" s="1">
        <v>0</v>
      </c>
    </row>
    <row r="30" spans="1:14" x14ac:dyDescent="0.25">
      <c r="A30" s="1" t="s">
        <v>391</v>
      </c>
      <c r="B30" s="1" t="s">
        <v>423</v>
      </c>
      <c r="C30" s="1">
        <v>2</v>
      </c>
      <c r="D30" s="1">
        <v>2</v>
      </c>
      <c r="E30" s="1" t="s">
        <v>431</v>
      </c>
      <c r="F30" s="25">
        <v>1.8</v>
      </c>
      <c r="G30" s="1">
        <v>36</v>
      </c>
      <c r="H30" s="1">
        <v>149</v>
      </c>
      <c r="I30" s="1" t="s">
        <v>436</v>
      </c>
      <c r="J30" s="8" t="s">
        <v>441</v>
      </c>
      <c r="L30" s="12">
        <v>176.62</v>
      </c>
      <c r="M30" s="1">
        <v>1</v>
      </c>
      <c r="N30" s="1">
        <v>0</v>
      </c>
    </row>
    <row r="31" spans="1:14" x14ac:dyDescent="0.25">
      <c r="A31" s="1" t="s">
        <v>391</v>
      </c>
      <c r="B31" s="1" t="s">
        <v>364</v>
      </c>
      <c r="C31" s="1">
        <v>2</v>
      </c>
      <c r="D31" s="1">
        <v>2</v>
      </c>
      <c r="E31" s="1" t="s">
        <v>432</v>
      </c>
      <c r="F31" s="25">
        <v>3.2019131789700821</v>
      </c>
      <c r="G31" s="1">
        <v>36</v>
      </c>
      <c r="H31" s="1">
        <v>111</v>
      </c>
      <c r="I31" s="1" t="s">
        <v>436</v>
      </c>
      <c r="J31" s="8" t="s">
        <v>438</v>
      </c>
      <c r="L31" s="12">
        <v>4538.32</v>
      </c>
      <c r="M31" s="1">
        <v>1</v>
      </c>
      <c r="N31" s="1">
        <v>0</v>
      </c>
    </row>
    <row r="32" spans="1:14" x14ac:dyDescent="0.25">
      <c r="A32" s="1" t="s">
        <v>391</v>
      </c>
      <c r="B32" s="1" t="s">
        <v>365</v>
      </c>
      <c r="C32" s="1">
        <v>2</v>
      </c>
      <c r="D32" s="1">
        <v>2</v>
      </c>
      <c r="E32" s="1" t="s">
        <v>432</v>
      </c>
      <c r="F32" s="25">
        <v>2.7575733418719066</v>
      </c>
      <c r="G32" s="1">
        <v>36</v>
      </c>
      <c r="H32" s="1">
        <v>111</v>
      </c>
      <c r="I32" s="1" t="s">
        <v>436</v>
      </c>
      <c r="J32" s="8" t="s">
        <v>438</v>
      </c>
      <c r="L32" s="12">
        <v>4538.32</v>
      </c>
      <c r="M32" s="1">
        <v>1</v>
      </c>
      <c r="N32" s="1">
        <v>0</v>
      </c>
    </row>
    <row r="33" spans="1:14" x14ac:dyDescent="0.25">
      <c r="A33" s="1" t="s">
        <v>391</v>
      </c>
      <c r="B33" s="1" t="s">
        <v>366</v>
      </c>
      <c r="C33" s="1">
        <v>2</v>
      </c>
      <c r="D33" s="1">
        <v>2</v>
      </c>
      <c r="E33" s="1" t="s">
        <v>432</v>
      </c>
      <c r="F33" s="25">
        <v>3.6487678864605857</v>
      </c>
      <c r="G33" s="1">
        <v>36</v>
      </c>
      <c r="H33" s="1">
        <v>111</v>
      </c>
      <c r="I33" s="1" t="s">
        <v>436</v>
      </c>
      <c r="J33" s="8" t="s">
        <v>438</v>
      </c>
      <c r="L33" s="12">
        <v>4538.32</v>
      </c>
      <c r="M33" s="1">
        <v>1</v>
      </c>
      <c r="N33" s="1">
        <v>0</v>
      </c>
    </row>
    <row r="34" spans="1:14" x14ac:dyDescent="0.25">
      <c r="A34" s="1" t="s">
        <v>391</v>
      </c>
      <c r="B34" s="1" t="s">
        <v>424</v>
      </c>
      <c r="C34" s="1">
        <v>2</v>
      </c>
      <c r="D34" s="1">
        <v>2</v>
      </c>
      <c r="E34" s="1" t="s">
        <v>433</v>
      </c>
      <c r="F34" s="25">
        <v>0.97489437062051254</v>
      </c>
      <c r="G34" s="1">
        <v>36</v>
      </c>
      <c r="H34" s="1">
        <v>73</v>
      </c>
      <c r="I34" s="1" t="s">
        <v>436</v>
      </c>
      <c r="J34" s="8" t="s">
        <v>439</v>
      </c>
      <c r="L34" s="12">
        <v>3995.84</v>
      </c>
      <c r="M34" s="1">
        <v>1</v>
      </c>
      <c r="N34" s="1">
        <v>0</v>
      </c>
    </row>
    <row r="35" spans="1:14" x14ac:dyDescent="0.25">
      <c r="A35" s="1" t="s">
        <v>391</v>
      </c>
      <c r="B35" s="1" t="s">
        <v>425</v>
      </c>
      <c r="C35" s="1">
        <v>4</v>
      </c>
      <c r="D35" s="1">
        <v>4</v>
      </c>
      <c r="E35" s="1" t="s">
        <v>433</v>
      </c>
      <c r="F35" s="25">
        <v>1.6589612837113441</v>
      </c>
      <c r="G35" s="1">
        <v>36</v>
      </c>
      <c r="H35" s="1">
        <v>73</v>
      </c>
      <c r="I35" s="1" t="s">
        <v>436</v>
      </c>
      <c r="J35" s="8" t="s">
        <v>439</v>
      </c>
      <c r="L35" s="12">
        <v>3995.84</v>
      </c>
      <c r="M35" s="1">
        <v>1</v>
      </c>
      <c r="N35" s="1">
        <v>0</v>
      </c>
    </row>
    <row r="36" spans="1:14" x14ac:dyDescent="0.25">
      <c r="A36" s="1" t="s">
        <v>391</v>
      </c>
      <c r="B36" s="1" t="s">
        <v>426</v>
      </c>
      <c r="C36" s="1">
        <v>4</v>
      </c>
      <c r="D36" s="1">
        <v>4</v>
      </c>
      <c r="E36" s="1" t="s">
        <v>433</v>
      </c>
      <c r="F36" s="25">
        <v>1.0192943706190081</v>
      </c>
      <c r="G36" s="1">
        <v>36</v>
      </c>
      <c r="H36" s="1">
        <v>73</v>
      </c>
      <c r="I36" s="1" t="s">
        <v>436</v>
      </c>
      <c r="J36" s="8" t="s">
        <v>439</v>
      </c>
      <c r="L36" s="12">
        <v>3995.84</v>
      </c>
      <c r="M36" s="1">
        <v>1</v>
      </c>
      <c r="N36" s="1">
        <v>0</v>
      </c>
    </row>
    <row r="37" spans="1:14" x14ac:dyDescent="0.25">
      <c r="A37" s="1" t="s">
        <v>391</v>
      </c>
      <c r="B37" s="1" t="s">
        <v>427</v>
      </c>
      <c r="C37" s="1">
        <v>4</v>
      </c>
      <c r="D37" s="1">
        <v>4</v>
      </c>
      <c r="E37" s="1" t="s">
        <v>433</v>
      </c>
      <c r="F37" s="25">
        <v>1.4203903460968004</v>
      </c>
      <c r="G37" s="1">
        <v>36</v>
      </c>
      <c r="H37" s="1">
        <v>73</v>
      </c>
      <c r="I37" s="1" t="s">
        <v>436</v>
      </c>
      <c r="J37" s="8" t="s">
        <v>439</v>
      </c>
      <c r="L37" s="12">
        <v>3995.84</v>
      </c>
      <c r="M37" s="1">
        <v>1</v>
      </c>
      <c r="N37" s="1">
        <v>0</v>
      </c>
    </row>
    <row r="38" spans="1:14" x14ac:dyDescent="0.25">
      <c r="A38" s="1" t="s">
        <v>391</v>
      </c>
      <c r="B38" s="1" t="s">
        <v>428</v>
      </c>
      <c r="C38" s="1">
        <v>4</v>
      </c>
      <c r="D38" s="1">
        <v>4</v>
      </c>
      <c r="E38" s="1" t="s">
        <v>433</v>
      </c>
      <c r="F38" s="25">
        <v>0.42806598033593241</v>
      </c>
      <c r="G38" s="1">
        <v>36</v>
      </c>
      <c r="H38" s="1">
        <v>73</v>
      </c>
      <c r="I38" s="1" t="s">
        <v>436</v>
      </c>
      <c r="J38" s="8" t="s">
        <v>439</v>
      </c>
      <c r="L38" s="12">
        <v>1117.52</v>
      </c>
      <c r="M38" s="1">
        <v>1</v>
      </c>
      <c r="N38" s="1">
        <v>0</v>
      </c>
    </row>
    <row r="39" spans="1:14" x14ac:dyDescent="0.25">
      <c r="A39" s="1" t="s">
        <v>385</v>
      </c>
      <c r="B39" s="1" t="s">
        <v>402</v>
      </c>
      <c r="C39" s="1">
        <v>2</v>
      </c>
      <c r="D39" s="1">
        <v>2</v>
      </c>
      <c r="E39" s="1" t="s">
        <v>431</v>
      </c>
      <c r="F39" s="25">
        <v>2.881999952316284</v>
      </c>
      <c r="G39" s="1">
        <v>36</v>
      </c>
      <c r="H39" s="1">
        <v>73</v>
      </c>
      <c r="I39" s="1" t="s">
        <v>436</v>
      </c>
      <c r="J39" s="8" t="s">
        <v>439</v>
      </c>
      <c r="L39" s="12">
        <v>4757.62</v>
      </c>
      <c r="M39" s="1">
        <v>1</v>
      </c>
      <c r="N39" s="1">
        <v>0</v>
      </c>
    </row>
    <row r="40" spans="1:14" x14ac:dyDescent="0.25">
      <c r="A40" s="1" t="s">
        <v>385</v>
      </c>
      <c r="B40" s="1" t="s">
        <v>429</v>
      </c>
      <c r="C40" s="1">
        <v>2</v>
      </c>
      <c r="D40" s="1">
        <v>2</v>
      </c>
      <c r="E40" s="1" t="s">
        <v>434</v>
      </c>
      <c r="F40" s="25">
        <v>1.1308283534426591</v>
      </c>
      <c r="G40" s="1">
        <v>36</v>
      </c>
      <c r="H40" s="1">
        <v>73</v>
      </c>
      <c r="I40" s="1" t="s">
        <v>436</v>
      </c>
      <c r="J40" s="8" t="s">
        <v>439</v>
      </c>
      <c r="L40" s="12">
        <v>3995.84</v>
      </c>
      <c r="M40" s="1">
        <v>1</v>
      </c>
      <c r="N40" s="1">
        <v>0</v>
      </c>
    </row>
    <row r="41" spans="1:14" x14ac:dyDescent="0.25">
      <c r="A41" s="1" t="s">
        <v>385</v>
      </c>
      <c r="B41" s="1" t="s">
        <v>364</v>
      </c>
      <c r="C41" s="1">
        <v>2</v>
      </c>
      <c r="D41" s="1">
        <v>2</v>
      </c>
      <c r="E41" s="1" t="s">
        <v>432</v>
      </c>
      <c r="F41" s="25">
        <v>4.8972595471337312</v>
      </c>
      <c r="G41" s="1">
        <v>36</v>
      </c>
      <c r="H41" s="1">
        <v>111</v>
      </c>
      <c r="I41" s="1" t="s">
        <v>436</v>
      </c>
      <c r="J41" s="8" t="s">
        <v>438</v>
      </c>
      <c r="L41" s="12">
        <v>4538.32</v>
      </c>
      <c r="M41" s="1">
        <v>1</v>
      </c>
      <c r="N41" s="1">
        <v>0</v>
      </c>
    </row>
    <row r="42" spans="1:14" x14ac:dyDescent="0.25">
      <c r="A42" s="1" t="s">
        <v>385</v>
      </c>
      <c r="B42" s="1" t="s">
        <v>424</v>
      </c>
      <c r="C42" s="1">
        <v>2</v>
      </c>
      <c r="D42" s="1">
        <v>2</v>
      </c>
      <c r="E42" s="1" t="s">
        <v>433</v>
      </c>
      <c r="F42" s="25">
        <v>1.5468680738849703</v>
      </c>
      <c r="G42" s="1">
        <v>36</v>
      </c>
      <c r="H42" s="1">
        <v>73</v>
      </c>
      <c r="I42" s="1" t="s">
        <v>436</v>
      </c>
      <c r="J42" s="8" t="s">
        <v>439</v>
      </c>
      <c r="L42" s="12">
        <v>3995.84</v>
      </c>
      <c r="M42" s="1">
        <v>1</v>
      </c>
      <c r="N42" s="1">
        <v>0</v>
      </c>
    </row>
    <row r="43" spans="1:14" x14ac:dyDescent="0.25">
      <c r="A43" s="1" t="s">
        <v>384</v>
      </c>
      <c r="B43" s="1" t="s">
        <v>402</v>
      </c>
      <c r="C43" s="1">
        <v>4</v>
      </c>
      <c r="D43" s="1">
        <v>4</v>
      </c>
      <c r="E43" s="1" t="s">
        <v>431</v>
      </c>
      <c r="F43" s="25">
        <v>2.8819999523162916</v>
      </c>
      <c r="G43" s="1">
        <v>36</v>
      </c>
      <c r="H43" s="1">
        <v>73</v>
      </c>
      <c r="I43" s="1" t="s">
        <v>436</v>
      </c>
      <c r="J43" s="8" t="s">
        <v>439</v>
      </c>
      <c r="L43" s="12">
        <v>4757.62</v>
      </c>
      <c r="M43" s="1">
        <v>1</v>
      </c>
      <c r="N43" s="1">
        <v>0</v>
      </c>
    </row>
    <row r="44" spans="1:14" x14ac:dyDescent="0.25">
      <c r="A44" s="1" t="s">
        <v>384</v>
      </c>
      <c r="B44" s="1" t="s">
        <v>429</v>
      </c>
      <c r="C44" s="1">
        <v>4</v>
      </c>
      <c r="D44" s="1">
        <v>4</v>
      </c>
      <c r="E44" s="1" t="s">
        <v>434</v>
      </c>
      <c r="F44" s="25">
        <v>1.1308283534436414</v>
      </c>
      <c r="G44" s="1">
        <v>36</v>
      </c>
      <c r="H44" s="1">
        <v>73</v>
      </c>
      <c r="I44" s="1" t="s">
        <v>436</v>
      </c>
      <c r="J44" s="8" t="s">
        <v>439</v>
      </c>
      <c r="L44" s="12">
        <v>3995.84</v>
      </c>
      <c r="M44" s="1">
        <v>1</v>
      </c>
      <c r="N44" s="1">
        <v>0</v>
      </c>
    </row>
    <row r="45" spans="1:14" x14ac:dyDescent="0.25">
      <c r="A45" s="1" t="s">
        <v>384</v>
      </c>
      <c r="B45" s="1" t="s">
        <v>364</v>
      </c>
      <c r="C45" s="1">
        <v>4</v>
      </c>
      <c r="D45" s="1">
        <v>4</v>
      </c>
      <c r="E45" s="1" t="s">
        <v>432</v>
      </c>
      <c r="F45" s="25">
        <v>3.5983888551712893</v>
      </c>
      <c r="G45" s="1">
        <v>36</v>
      </c>
      <c r="H45" s="1">
        <v>111</v>
      </c>
      <c r="I45" s="1" t="s">
        <v>436</v>
      </c>
      <c r="J45" s="8" t="s">
        <v>438</v>
      </c>
      <c r="L45" s="12">
        <v>4538.32</v>
      </c>
      <c r="M45" s="1">
        <v>1</v>
      </c>
      <c r="N45" s="1">
        <v>0</v>
      </c>
    </row>
    <row r="46" spans="1:14" x14ac:dyDescent="0.25">
      <c r="A46" s="1" t="s">
        <v>384</v>
      </c>
      <c r="B46" s="1" t="s">
        <v>424</v>
      </c>
      <c r="C46" s="1">
        <v>4</v>
      </c>
      <c r="D46" s="1">
        <v>4</v>
      </c>
      <c r="E46" s="1" t="s">
        <v>433</v>
      </c>
      <c r="F46" s="25">
        <v>1.5468680738851293</v>
      </c>
      <c r="G46" s="1">
        <v>36</v>
      </c>
      <c r="H46" s="1">
        <v>73</v>
      </c>
      <c r="I46" s="1" t="s">
        <v>436</v>
      </c>
      <c r="J46" s="8" t="s">
        <v>439</v>
      </c>
      <c r="L46" s="12">
        <v>3995.84</v>
      </c>
      <c r="M46" s="1">
        <v>1</v>
      </c>
      <c r="N46" s="1">
        <v>0</v>
      </c>
    </row>
    <row r="47" spans="1:14" x14ac:dyDescent="0.25">
      <c r="A47" s="1" t="s">
        <v>397</v>
      </c>
      <c r="B47" s="1" t="s">
        <v>402</v>
      </c>
      <c r="C47" s="1">
        <v>5</v>
      </c>
      <c r="D47" s="1">
        <v>5</v>
      </c>
      <c r="E47" s="1" t="s">
        <v>431</v>
      </c>
      <c r="F47" s="25">
        <v>2.7499952685406517</v>
      </c>
      <c r="G47" s="1">
        <v>36</v>
      </c>
      <c r="H47" s="1">
        <v>73</v>
      </c>
      <c r="I47" s="1" t="s">
        <v>436</v>
      </c>
      <c r="J47" s="8" t="s">
        <v>439</v>
      </c>
      <c r="L47" s="12">
        <v>4757.62</v>
      </c>
      <c r="M47" s="1">
        <v>1</v>
      </c>
      <c r="N47" s="1">
        <v>0</v>
      </c>
    </row>
    <row r="48" spans="1:14" x14ac:dyDescent="0.25">
      <c r="A48" s="1" t="s">
        <v>397</v>
      </c>
      <c r="B48" s="1" t="s">
        <v>429</v>
      </c>
      <c r="C48" s="1">
        <v>5</v>
      </c>
      <c r="D48" s="1">
        <v>5</v>
      </c>
      <c r="E48" s="1" t="s">
        <v>434</v>
      </c>
      <c r="F48" s="25">
        <v>1.2739612404662986</v>
      </c>
      <c r="G48" s="1">
        <v>36</v>
      </c>
      <c r="H48" s="1">
        <v>73</v>
      </c>
      <c r="I48" s="1" t="s">
        <v>436</v>
      </c>
      <c r="J48" s="8" t="s">
        <v>439</v>
      </c>
      <c r="L48" s="12">
        <v>3995.84</v>
      </c>
      <c r="M48" s="1">
        <v>1</v>
      </c>
      <c r="N48" s="1">
        <v>0</v>
      </c>
    </row>
    <row r="49" spans="1:19" x14ac:dyDescent="0.25">
      <c r="A49" s="1" t="s">
        <v>397</v>
      </c>
      <c r="B49" s="1" t="s">
        <v>364</v>
      </c>
      <c r="C49" s="1">
        <v>5</v>
      </c>
      <c r="D49" s="1">
        <v>5</v>
      </c>
      <c r="E49" s="1" t="s">
        <v>432</v>
      </c>
      <c r="F49" s="25">
        <v>3.5588291655979551</v>
      </c>
      <c r="G49" s="1">
        <v>36</v>
      </c>
      <c r="H49" s="1">
        <v>111</v>
      </c>
      <c r="I49" s="1" t="s">
        <v>436</v>
      </c>
      <c r="J49" s="8" t="s">
        <v>438</v>
      </c>
      <c r="L49" s="12">
        <v>4538.32</v>
      </c>
      <c r="M49" s="1">
        <v>1</v>
      </c>
      <c r="N49" s="1">
        <v>0</v>
      </c>
    </row>
    <row r="50" spans="1:19" x14ac:dyDescent="0.25">
      <c r="A50" s="1" t="s">
        <v>397</v>
      </c>
      <c r="B50" s="1" t="s">
        <v>424</v>
      </c>
      <c r="C50" s="1">
        <v>5</v>
      </c>
      <c r="D50" s="1">
        <v>5</v>
      </c>
      <c r="E50" s="1" t="s">
        <v>433</v>
      </c>
      <c r="F50" s="25">
        <v>1.4964313009278534</v>
      </c>
      <c r="G50" s="1">
        <v>36</v>
      </c>
      <c r="H50" s="1">
        <v>73</v>
      </c>
      <c r="I50" s="1" t="s">
        <v>436</v>
      </c>
      <c r="J50" s="8" t="s">
        <v>439</v>
      </c>
      <c r="L50" s="12">
        <v>3995.84</v>
      </c>
      <c r="M50" s="1">
        <v>1</v>
      </c>
      <c r="N50" s="1">
        <v>0</v>
      </c>
    </row>
    <row r="51" spans="1:19" x14ac:dyDescent="0.25">
      <c r="A51" s="1" t="s">
        <v>397</v>
      </c>
      <c r="B51" s="1" t="s">
        <v>430</v>
      </c>
      <c r="C51" s="1">
        <v>5</v>
      </c>
      <c r="D51" s="1">
        <v>5</v>
      </c>
      <c r="E51" s="1" t="s">
        <v>435</v>
      </c>
      <c r="F51" s="25">
        <v>0.14967218043505637</v>
      </c>
      <c r="G51" s="1">
        <v>36</v>
      </c>
      <c r="H51" s="1">
        <v>73</v>
      </c>
      <c r="I51" s="1" t="s">
        <v>436</v>
      </c>
      <c r="J51" s="8" t="s">
        <v>439</v>
      </c>
      <c r="L51" s="12">
        <v>1117.52</v>
      </c>
      <c r="M51" s="1">
        <v>1</v>
      </c>
      <c r="N51" s="1">
        <v>0</v>
      </c>
    </row>
    <row r="52" spans="1:19" x14ac:dyDescent="0.25">
      <c r="A52" s="1" t="s">
        <v>387</v>
      </c>
      <c r="B52" s="1" t="s">
        <v>402</v>
      </c>
      <c r="C52" s="1">
        <v>3</v>
      </c>
      <c r="D52" s="1">
        <v>3</v>
      </c>
      <c r="E52" s="1" t="s">
        <v>431</v>
      </c>
      <c r="F52" s="25">
        <v>1.7074557487552737</v>
      </c>
      <c r="G52" s="1">
        <v>36</v>
      </c>
      <c r="H52" s="1">
        <v>73</v>
      </c>
      <c r="I52" s="1" t="s">
        <v>436</v>
      </c>
      <c r="J52" s="8" t="s">
        <v>439</v>
      </c>
      <c r="L52" s="12">
        <v>3995.84</v>
      </c>
      <c r="M52" s="1">
        <v>1</v>
      </c>
      <c r="N52" s="1">
        <v>0</v>
      </c>
    </row>
    <row r="53" spans="1:19" x14ac:dyDescent="0.25">
      <c r="A53" s="1" t="s">
        <v>387</v>
      </c>
      <c r="B53" s="1" t="s">
        <v>364</v>
      </c>
      <c r="C53" s="1">
        <v>3</v>
      </c>
      <c r="D53" s="1">
        <v>3</v>
      </c>
      <c r="E53" s="1" t="s">
        <v>432</v>
      </c>
      <c r="F53" s="25">
        <v>2.2995181632072783</v>
      </c>
      <c r="G53" s="1">
        <v>36</v>
      </c>
      <c r="H53" s="1">
        <v>111</v>
      </c>
      <c r="I53" s="1" t="s">
        <v>436</v>
      </c>
      <c r="J53" s="8" t="s">
        <v>438</v>
      </c>
      <c r="L53" s="12">
        <v>4134.3500000000004</v>
      </c>
      <c r="M53" s="1">
        <v>1</v>
      </c>
      <c r="N53" s="1">
        <v>0</v>
      </c>
    </row>
    <row r="54" spans="1:19" x14ac:dyDescent="0.25">
      <c r="A54" s="1" t="s">
        <v>388</v>
      </c>
      <c r="B54" s="1" t="s">
        <v>402</v>
      </c>
      <c r="C54" s="1">
        <v>3</v>
      </c>
      <c r="D54" s="1">
        <v>3</v>
      </c>
      <c r="E54" s="1" t="s">
        <v>431</v>
      </c>
      <c r="F54" s="25">
        <v>1.7074557487552737</v>
      </c>
      <c r="G54" s="1">
        <v>36</v>
      </c>
      <c r="H54" s="1">
        <v>73</v>
      </c>
      <c r="I54" s="1" t="s">
        <v>436</v>
      </c>
      <c r="J54" s="8" t="s">
        <v>439</v>
      </c>
      <c r="L54" s="12">
        <v>3995.84</v>
      </c>
      <c r="M54" s="1">
        <v>1</v>
      </c>
      <c r="N54" s="1">
        <v>0</v>
      </c>
      <c r="S54" s="6"/>
    </row>
    <row r="55" spans="1:19" x14ac:dyDescent="0.25">
      <c r="A55" s="1" t="s">
        <v>388</v>
      </c>
      <c r="B55" s="1" t="s">
        <v>364</v>
      </c>
      <c r="C55" s="1">
        <v>3</v>
      </c>
      <c r="D55" s="1">
        <v>3</v>
      </c>
      <c r="E55" s="1" t="s">
        <v>432</v>
      </c>
      <c r="F55" s="25">
        <v>1.0006474712436899</v>
      </c>
      <c r="G55" s="1">
        <v>36</v>
      </c>
      <c r="H55" s="1">
        <v>111</v>
      </c>
      <c r="I55" s="1" t="s">
        <v>436</v>
      </c>
      <c r="J55" s="8" t="s">
        <v>438</v>
      </c>
      <c r="L55" s="12">
        <v>4134.3500000000004</v>
      </c>
      <c r="M55" s="1">
        <v>1</v>
      </c>
      <c r="N55" s="1">
        <v>0</v>
      </c>
    </row>
    <row r="56" spans="1:19" x14ac:dyDescent="0.25">
      <c r="A56" s="1" t="s">
        <v>393</v>
      </c>
      <c r="B56" s="1" t="s">
        <v>402</v>
      </c>
      <c r="C56" s="1">
        <v>1</v>
      </c>
      <c r="D56" s="1">
        <v>1</v>
      </c>
      <c r="E56" s="1" t="s">
        <v>431</v>
      </c>
      <c r="F56" s="25">
        <v>1.6374557487552956</v>
      </c>
      <c r="G56" s="1">
        <v>36</v>
      </c>
      <c r="H56" s="1">
        <v>73</v>
      </c>
      <c r="I56" s="1" t="s">
        <v>436</v>
      </c>
      <c r="J56" s="8" t="s">
        <v>439</v>
      </c>
      <c r="L56" s="12">
        <v>3995.84</v>
      </c>
      <c r="M56" s="1">
        <v>1</v>
      </c>
      <c r="N56" s="1">
        <v>0</v>
      </c>
    </row>
    <row r="57" spans="1:19" x14ac:dyDescent="0.25">
      <c r="A57" s="1" t="s">
        <v>393</v>
      </c>
      <c r="B57" s="1" t="s">
        <v>364</v>
      </c>
      <c r="C57" s="1">
        <v>1</v>
      </c>
      <c r="D57" s="1">
        <v>1</v>
      </c>
      <c r="E57" s="1" t="s">
        <v>432</v>
      </c>
      <c r="F57" s="25">
        <v>1.6717306870373687</v>
      </c>
      <c r="G57" s="1">
        <v>36</v>
      </c>
      <c r="H57" s="1">
        <v>111</v>
      </c>
      <c r="I57" s="1" t="s">
        <v>436</v>
      </c>
      <c r="J57" s="8" t="s">
        <v>438</v>
      </c>
      <c r="L57" s="12">
        <v>4134.3500000000004</v>
      </c>
      <c r="M57" s="1">
        <v>1</v>
      </c>
      <c r="N57" s="1">
        <v>0</v>
      </c>
    </row>
    <row r="58" spans="1:19" x14ac:dyDescent="0.25">
      <c r="A58" s="1" t="s">
        <v>393</v>
      </c>
      <c r="B58" s="1" t="s">
        <v>430</v>
      </c>
      <c r="C58" s="1">
        <v>1</v>
      </c>
      <c r="D58" s="1">
        <v>1</v>
      </c>
      <c r="E58" s="1" t="s">
        <v>435</v>
      </c>
      <c r="F58" s="25">
        <v>0.3195067583630149</v>
      </c>
      <c r="G58" s="1">
        <v>36</v>
      </c>
      <c r="H58" s="1">
        <v>111</v>
      </c>
      <c r="I58" s="1" t="s">
        <v>436</v>
      </c>
      <c r="J58" s="8" t="s">
        <v>438</v>
      </c>
      <c r="L58" s="12">
        <v>237.08</v>
      </c>
      <c r="M58" s="1">
        <v>1</v>
      </c>
      <c r="N58" s="1">
        <v>0</v>
      </c>
    </row>
    <row r="59" spans="1:19" x14ac:dyDescent="0.25">
      <c r="A59" s="1" t="s">
        <v>394</v>
      </c>
      <c r="B59" s="1" t="s">
        <v>402</v>
      </c>
      <c r="C59" s="1">
        <v>1</v>
      </c>
      <c r="D59" s="1">
        <v>1</v>
      </c>
      <c r="E59" s="1" t="s">
        <v>431</v>
      </c>
      <c r="F59" s="25">
        <v>1.6374557487552956</v>
      </c>
      <c r="G59" s="1">
        <v>36</v>
      </c>
      <c r="H59" s="1">
        <v>73</v>
      </c>
      <c r="I59" s="1" t="s">
        <v>436</v>
      </c>
      <c r="J59" s="8" t="s">
        <v>439</v>
      </c>
      <c r="L59" s="12">
        <v>3995.84</v>
      </c>
      <c r="M59" s="1">
        <v>1</v>
      </c>
      <c r="N59" s="1">
        <v>0</v>
      </c>
    </row>
    <row r="60" spans="1:19" x14ac:dyDescent="0.25">
      <c r="A60" s="1" t="s">
        <v>394</v>
      </c>
      <c r="B60" s="1" t="s">
        <v>364</v>
      </c>
      <c r="C60" s="1">
        <v>1</v>
      </c>
      <c r="D60" s="1">
        <v>1</v>
      </c>
      <c r="E60" s="1" t="s">
        <v>432</v>
      </c>
      <c r="F60" s="25">
        <v>0.37285999507367035</v>
      </c>
      <c r="G60" s="1">
        <v>36</v>
      </c>
      <c r="H60" s="1">
        <v>111</v>
      </c>
      <c r="I60" s="1" t="s">
        <v>436</v>
      </c>
      <c r="J60" s="8" t="s">
        <v>438</v>
      </c>
      <c r="L60" s="12">
        <v>237.08</v>
      </c>
      <c r="M60" s="1">
        <v>1</v>
      </c>
      <c r="N60" s="1">
        <v>0</v>
      </c>
    </row>
    <row r="61" spans="1:19" x14ac:dyDescent="0.25">
      <c r="A61" s="1" t="s">
        <v>394</v>
      </c>
      <c r="B61" s="1" t="s">
        <v>430</v>
      </c>
      <c r="C61" s="1">
        <v>1</v>
      </c>
      <c r="D61" s="1">
        <v>1</v>
      </c>
      <c r="E61" s="1" t="s">
        <v>435</v>
      </c>
      <c r="F61" s="25">
        <v>0.31950675836381948</v>
      </c>
      <c r="G61" s="1">
        <v>36</v>
      </c>
      <c r="H61" s="1">
        <v>111</v>
      </c>
      <c r="I61" s="1" t="s">
        <v>436</v>
      </c>
      <c r="J61" s="8" t="s">
        <v>438</v>
      </c>
      <c r="L61" s="12">
        <v>237.08</v>
      </c>
      <c r="M61" s="1">
        <v>1</v>
      </c>
      <c r="N61" s="1">
        <v>0</v>
      </c>
    </row>
    <row r="62" spans="1:19" x14ac:dyDescent="0.25">
      <c r="A62" s="1" t="s">
        <v>399</v>
      </c>
      <c r="B62" s="1" t="s">
        <v>402</v>
      </c>
      <c r="C62" s="1">
        <v>2</v>
      </c>
      <c r="D62" s="1">
        <v>2</v>
      </c>
      <c r="E62" s="1" t="s">
        <v>431</v>
      </c>
      <c r="F62" s="25">
        <v>1.549995220856933</v>
      </c>
      <c r="G62" s="1">
        <v>36</v>
      </c>
      <c r="H62" s="1">
        <v>73</v>
      </c>
      <c r="I62" s="1" t="s">
        <v>436</v>
      </c>
      <c r="J62" s="8" t="s">
        <v>439</v>
      </c>
      <c r="L62" s="12">
        <v>3995.84</v>
      </c>
      <c r="M62" s="1">
        <v>1</v>
      </c>
      <c r="N62" s="1">
        <v>0</v>
      </c>
    </row>
    <row r="63" spans="1:19" x14ac:dyDescent="0.25">
      <c r="A63" s="1" t="s">
        <v>399</v>
      </c>
      <c r="B63" s="1" t="s">
        <v>364</v>
      </c>
      <c r="C63" s="1">
        <v>2</v>
      </c>
      <c r="D63" s="1">
        <v>2</v>
      </c>
      <c r="E63" s="1" t="s">
        <v>432</v>
      </c>
      <c r="F63" s="25">
        <v>2.1953845624069617</v>
      </c>
      <c r="G63" s="1">
        <v>36</v>
      </c>
      <c r="H63" s="1">
        <v>111</v>
      </c>
      <c r="I63" s="1" t="s">
        <v>436</v>
      </c>
      <c r="J63" s="8" t="s">
        <v>438</v>
      </c>
      <c r="L63" s="12">
        <v>4134.3500000000004</v>
      </c>
      <c r="M63" s="1">
        <v>1</v>
      </c>
      <c r="N63" s="1">
        <v>0</v>
      </c>
    </row>
    <row r="64" spans="1:19" x14ac:dyDescent="0.25">
      <c r="A64" s="1" t="s">
        <v>399</v>
      </c>
      <c r="B64" s="1" t="s">
        <v>430</v>
      </c>
      <c r="C64" s="1">
        <v>2</v>
      </c>
      <c r="D64" s="1">
        <v>2</v>
      </c>
      <c r="E64" s="1" t="s">
        <v>435</v>
      </c>
      <c r="F64" s="25">
        <v>0.14967218043530511</v>
      </c>
      <c r="G64" s="1">
        <v>36</v>
      </c>
      <c r="H64" s="1">
        <v>73</v>
      </c>
      <c r="I64" s="1" t="s">
        <v>436</v>
      </c>
      <c r="J64" s="8" t="s">
        <v>439</v>
      </c>
      <c r="L64" s="12">
        <v>1117.52</v>
      </c>
      <c r="M64" s="1">
        <v>1</v>
      </c>
      <c r="N64" s="1">
        <v>0</v>
      </c>
    </row>
    <row r="65" spans="1:14" x14ac:dyDescent="0.25">
      <c r="A65" s="1" t="s">
        <v>386</v>
      </c>
      <c r="B65" s="1" t="s">
        <v>402</v>
      </c>
      <c r="C65" s="1">
        <v>4</v>
      </c>
      <c r="D65" s="1">
        <v>4</v>
      </c>
      <c r="E65" s="1" t="s">
        <v>431</v>
      </c>
      <c r="F65" s="25">
        <v>2.8819999523162987</v>
      </c>
      <c r="G65" s="1">
        <v>36</v>
      </c>
      <c r="H65" s="1">
        <v>73</v>
      </c>
      <c r="I65" s="1" t="s">
        <v>436</v>
      </c>
      <c r="J65" s="8" t="s">
        <v>439</v>
      </c>
      <c r="L65" s="12">
        <v>4757.62</v>
      </c>
      <c r="M65" s="1">
        <v>1</v>
      </c>
      <c r="N65" s="1">
        <v>0</v>
      </c>
    </row>
    <row r="66" spans="1:14" x14ac:dyDescent="0.25">
      <c r="A66" s="1" t="s">
        <v>386</v>
      </c>
      <c r="B66" s="1" t="s">
        <v>364</v>
      </c>
      <c r="C66" s="1">
        <v>4</v>
      </c>
      <c r="D66" s="1">
        <v>4</v>
      </c>
      <c r="E66" s="1" t="s">
        <v>432</v>
      </c>
      <c r="F66" s="25">
        <v>2.2995181632072721</v>
      </c>
      <c r="G66" s="1">
        <v>36</v>
      </c>
      <c r="H66" s="1">
        <v>111</v>
      </c>
      <c r="I66" s="1" t="s">
        <v>436</v>
      </c>
      <c r="J66" s="8" t="s">
        <v>438</v>
      </c>
      <c r="L66" s="12">
        <v>4134.3500000000004</v>
      </c>
      <c r="M66" s="1">
        <v>1</v>
      </c>
      <c r="N66" s="1">
        <v>0</v>
      </c>
    </row>
    <row r="67" spans="1:14" x14ac:dyDescent="0.25">
      <c r="A67" s="1" t="s">
        <v>386</v>
      </c>
      <c r="B67" s="1" t="s">
        <v>424</v>
      </c>
      <c r="C67" s="1">
        <v>4</v>
      </c>
      <c r="D67" s="1">
        <v>4</v>
      </c>
      <c r="E67" s="1" t="s">
        <v>433</v>
      </c>
      <c r="F67" s="25">
        <v>0.61782483669214894</v>
      </c>
      <c r="G67" s="1">
        <v>36</v>
      </c>
      <c r="H67" s="1">
        <v>73</v>
      </c>
      <c r="I67" s="1" t="s">
        <v>436</v>
      </c>
      <c r="J67" s="8" t="s">
        <v>439</v>
      </c>
      <c r="L67" s="12">
        <v>1117.52</v>
      </c>
      <c r="M67" s="1">
        <v>1</v>
      </c>
      <c r="N67" s="1">
        <v>0</v>
      </c>
    </row>
    <row r="68" spans="1:14" x14ac:dyDescent="0.25">
      <c r="A68" s="1" t="s">
        <v>386</v>
      </c>
      <c r="B68" s="1" t="s">
        <v>425</v>
      </c>
      <c r="C68" s="1">
        <v>4</v>
      </c>
      <c r="D68" s="1">
        <v>4</v>
      </c>
      <c r="E68" s="1" t="s">
        <v>433</v>
      </c>
      <c r="F68" s="25">
        <v>1.3840483723299333</v>
      </c>
      <c r="G68" s="1">
        <v>36</v>
      </c>
      <c r="H68" s="1">
        <v>73</v>
      </c>
      <c r="I68" s="1" t="s">
        <v>436</v>
      </c>
      <c r="J68" s="8" t="s">
        <v>439</v>
      </c>
      <c r="L68" s="12">
        <v>3995.84</v>
      </c>
      <c r="M68" s="1">
        <v>1</v>
      </c>
      <c r="N68" s="1">
        <v>0</v>
      </c>
    </row>
    <row r="69" spans="1:14" x14ac:dyDescent="0.25">
      <c r="A69" s="1" t="s">
        <v>398</v>
      </c>
      <c r="B69" s="1" t="s">
        <v>402</v>
      </c>
      <c r="C69" s="1">
        <v>2</v>
      </c>
      <c r="D69" s="1">
        <v>2</v>
      </c>
      <c r="E69" s="1" t="s">
        <v>431</v>
      </c>
      <c r="F69" s="25">
        <v>2.7499952685406517</v>
      </c>
      <c r="G69" s="1">
        <v>36</v>
      </c>
      <c r="H69" s="1">
        <v>73</v>
      </c>
      <c r="I69" s="1" t="s">
        <v>436</v>
      </c>
      <c r="J69" s="8" t="s">
        <v>439</v>
      </c>
      <c r="L69" s="12">
        <v>4757.62</v>
      </c>
      <c r="M69" s="1">
        <v>1</v>
      </c>
      <c r="N69" s="1">
        <v>0</v>
      </c>
    </row>
    <row r="70" spans="1:14" x14ac:dyDescent="0.25">
      <c r="A70" s="1" t="s">
        <v>398</v>
      </c>
      <c r="B70" s="1" t="s">
        <v>364</v>
      </c>
      <c r="C70" s="1">
        <v>2</v>
      </c>
      <c r="D70" s="1">
        <v>2</v>
      </c>
      <c r="E70" s="1" t="s">
        <v>432</v>
      </c>
      <c r="F70" s="25">
        <v>2.1953845624069617</v>
      </c>
      <c r="G70" s="1">
        <v>36</v>
      </c>
      <c r="H70" s="1">
        <v>111</v>
      </c>
      <c r="I70" s="1" t="s">
        <v>436</v>
      </c>
      <c r="J70" s="8" t="s">
        <v>438</v>
      </c>
      <c r="L70" s="12">
        <v>4134.3500000000004</v>
      </c>
      <c r="M70" s="1">
        <v>1</v>
      </c>
      <c r="N70" s="1">
        <v>0</v>
      </c>
    </row>
    <row r="71" spans="1:14" x14ac:dyDescent="0.25">
      <c r="A71" s="1" t="s">
        <v>398</v>
      </c>
      <c r="B71" s="1" t="s">
        <v>424</v>
      </c>
      <c r="C71" s="1">
        <v>2</v>
      </c>
      <c r="D71" s="1">
        <v>2</v>
      </c>
      <c r="E71" s="1" t="s">
        <v>433</v>
      </c>
      <c r="F71" s="25">
        <v>1.5059106117650207</v>
      </c>
      <c r="G71" s="1">
        <v>36</v>
      </c>
      <c r="H71" s="1">
        <v>73</v>
      </c>
      <c r="I71" s="1" t="s">
        <v>436</v>
      </c>
      <c r="J71" s="8" t="s">
        <v>439</v>
      </c>
      <c r="L71" s="12">
        <v>3995.84</v>
      </c>
      <c r="M71" s="1">
        <v>1</v>
      </c>
      <c r="N71" s="1">
        <v>0</v>
      </c>
    </row>
    <row r="72" spans="1:14" x14ac:dyDescent="0.25">
      <c r="A72" s="1" t="s">
        <v>398</v>
      </c>
      <c r="B72" s="1" t="s">
        <v>430</v>
      </c>
      <c r="C72" s="1">
        <v>2</v>
      </c>
      <c r="D72" s="1">
        <v>2</v>
      </c>
      <c r="E72" s="1" t="s">
        <v>435</v>
      </c>
      <c r="F72" s="25">
        <v>0.14967218043534422</v>
      </c>
      <c r="G72" s="1">
        <v>36</v>
      </c>
      <c r="H72" s="1">
        <v>73</v>
      </c>
      <c r="I72" s="1" t="s">
        <v>436</v>
      </c>
      <c r="J72" s="8" t="s">
        <v>439</v>
      </c>
      <c r="L72" s="12">
        <v>1117.52</v>
      </c>
      <c r="M72" s="1">
        <v>1</v>
      </c>
      <c r="N72" s="1">
        <v>0</v>
      </c>
    </row>
    <row r="73" spans="1:14" x14ac:dyDescent="0.25">
      <c r="A73" s="1" t="s">
        <v>401</v>
      </c>
      <c r="B73" s="1" t="s">
        <v>364</v>
      </c>
      <c r="C73" s="1">
        <v>2</v>
      </c>
      <c r="D73" s="1">
        <v>2</v>
      </c>
      <c r="E73" s="1" t="s">
        <v>432</v>
      </c>
      <c r="F73" s="25">
        <v>1</v>
      </c>
      <c r="G73" s="1">
        <v>36</v>
      </c>
      <c r="H73" s="1">
        <v>111</v>
      </c>
      <c r="I73" s="1" t="s">
        <v>436</v>
      </c>
      <c r="J73" s="8" t="s">
        <v>438</v>
      </c>
      <c r="L73" s="12">
        <v>4134.3500000000004</v>
      </c>
      <c r="M73" s="1">
        <v>1</v>
      </c>
      <c r="N73" s="1">
        <v>0</v>
      </c>
    </row>
    <row r="74" spans="1:14" x14ac:dyDescent="0.25">
      <c r="A74" s="1" t="s">
        <v>389</v>
      </c>
      <c r="B74" s="1" t="s">
        <v>364</v>
      </c>
      <c r="C74" s="1">
        <v>4</v>
      </c>
      <c r="D74" s="1">
        <v>4</v>
      </c>
      <c r="E74" s="1" t="s">
        <v>432</v>
      </c>
      <c r="F74" s="25">
        <v>1.028200678374616</v>
      </c>
      <c r="G74" s="1">
        <v>36</v>
      </c>
      <c r="H74" s="1">
        <v>111</v>
      </c>
      <c r="I74" s="1" t="s">
        <v>436</v>
      </c>
      <c r="J74" s="8" t="s">
        <v>438</v>
      </c>
      <c r="L74" s="12">
        <v>4134.3500000000004</v>
      </c>
      <c r="M74" s="1">
        <v>1</v>
      </c>
      <c r="N74" s="1">
        <v>0</v>
      </c>
    </row>
    <row r="75" spans="1:14" x14ac:dyDescent="0.25">
      <c r="A75" s="1" t="s">
        <v>400</v>
      </c>
      <c r="B75" s="1" t="s">
        <v>364</v>
      </c>
      <c r="C75" s="1">
        <v>4</v>
      </c>
      <c r="D75" s="1">
        <v>4</v>
      </c>
      <c r="E75" s="1" t="s">
        <v>432</v>
      </c>
      <c r="F75" s="25">
        <v>0.86026218078416783</v>
      </c>
      <c r="G75" s="1">
        <v>36</v>
      </c>
      <c r="H75" s="1">
        <v>111</v>
      </c>
      <c r="I75" s="1" t="s">
        <v>436</v>
      </c>
      <c r="J75" s="8" t="s">
        <v>438</v>
      </c>
      <c r="L75" s="12">
        <v>237.08</v>
      </c>
      <c r="M75" s="1">
        <v>1</v>
      </c>
      <c r="N75" s="1">
        <v>0</v>
      </c>
    </row>
    <row r="76" spans="1:14" x14ac:dyDescent="0.25">
      <c r="A76" s="1" t="s">
        <v>364</v>
      </c>
      <c r="B76" s="1" t="s">
        <v>402</v>
      </c>
      <c r="C76" s="1">
        <v>8</v>
      </c>
      <c r="D76" s="1">
        <v>8</v>
      </c>
      <c r="E76" s="1" t="s">
        <v>431</v>
      </c>
      <c r="F76" s="25">
        <v>5.8</v>
      </c>
      <c r="G76" s="1">
        <v>36</v>
      </c>
      <c r="H76" s="1">
        <v>111</v>
      </c>
      <c r="I76" s="1" t="s">
        <v>436</v>
      </c>
      <c r="J76" s="8" t="s">
        <v>438</v>
      </c>
      <c r="L76" s="12">
        <v>4861.5</v>
      </c>
      <c r="M76" s="1">
        <v>1</v>
      </c>
      <c r="N76" s="1">
        <v>0</v>
      </c>
    </row>
    <row r="77" spans="1:14" x14ac:dyDescent="0.25">
      <c r="A77" s="1" t="s">
        <v>364</v>
      </c>
      <c r="B77" s="1" t="s">
        <v>364</v>
      </c>
      <c r="C77" s="1">
        <v>16</v>
      </c>
      <c r="D77" s="1">
        <v>16</v>
      </c>
      <c r="E77" s="1" t="s">
        <v>432</v>
      </c>
      <c r="F77" s="25">
        <v>1.0069251615935773</v>
      </c>
      <c r="G77" s="1">
        <v>36</v>
      </c>
      <c r="H77" s="1">
        <v>111</v>
      </c>
      <c r="I77" s="1" t="s">
        <v>436</v>
      </c>
      <c r="J77" s="8" t="s">
        <v>438</v>
      </c>
      <c r="L77" s="12">
        <v>4134.3500000000004</v>
      </c>
      <c r="M77" s="1">
        <v>1</v>
      </c>
      <c r="N77" s="1">
        <v>0</v>
      </c>
    </row>
    <row r="78" spans="1:14" x14ac:dyDescent="0.25">
      <c r="A78" s="1" t="s">
        <v>364</v>
      </c>
      <c r="B78" s="1" t="s">
        <v>365</v>
      </c>
      <c r="C78" s="1">
        <v>16</v>
      </c>
      <c r="D78" s="1">
        <v>16</v>
      </c>
      <c r="E78" s="1" t="s">
        <v>432</v>
      </c>
      <c r="F78" s="25">
        <v>0.92020874570814748</v>
      </c>
      <c r="G78" s="1">
        <v>36</v>
      </c>
      <c r="H78" s="1">
        <v>111</v>
      </c>
      <c r="I78" s="1" t="s">
        <v>436</v>
      </c>
      <c r="J78" s="8" t="s">
        <v>438</v>
      </c>
      <c r="L78" s="12">
        <v>4134.3500000000004</v>
      </c>
      <c r="M78" s="1">
        <v>1</v>
      </c>
      <c r="N78" s="1">
        <v>0</v>
      </c>
    </row>
    <row r="79" spans="1:14" x14ac:dyDescent="0.25">
      <c r="A79" s="1" t="s">
        <v>364</v>
      </c>
      <c r="B79" s="1" t="s">
        <v>366</v>
      </c>
      <c r="C79" s="1">
        <v>16</v>
      </c>
      <c r="D79" s="1">
        <v>16</v>
      </c>
      <c r="E79" s="1" t="s">
        <v>432</v>
      </c>
      <c r="F79" s="25">
        <v>1.7265701205743746</v>
      </c>
      <c r="G79" s="1">
        <v>36</v>
      </c>
      <c r="H79" s="1">
        <v>111</v>
      </c>
      <c r="I79" s="1" t="s">
        <v>436</v>
      </c>
      <c r="J79" s="8" t="s">
        <v>438</v>
      </c>
      <c r="L79" s="12">
        <v>4134.3500000000004</v>
      </c>
      <c r="M79" s="1">
        <v>1</v>
      </c>
      <c r="N79" s="1">
        <v>0</v>
      </c>
    </row>
    <row r="80" spans="1:14" x14ac:dyDescent="0.25">
      <c r="A80" s="1" t="s">
        <v>364</v>
      </c>
      <c r="B80" s="1" t="s">
        <v>424</v>
      </c>
      <c r="C80" s="1">
        <v>8</v>
      </c>
      <c r="D80" s="1">
        <v>8</v>
      </c>
      <c r="E80" s="1" t="s">
        <v>433</v>
      </c>
      <c r="F80" s="25">
        <v>0.64333507444316651</v>
      </c>
      <c r="G80" s="1">
        <v>36</v>
      </c>
      <c r="H80" s="1">
        <v>73</v>
      </c>
      <c r="I80" s="1" t="s">
        <v>436</v>
      </c>
      <c r="J80" s="8" t="s">
        <v>439</v>
      </c>
      <c r="L80" s="12">
        <v>1117.52</v>
      </c>
      <c r="M80" s="1">
        <v>1</v>
      </c>
      <c r="N80" s="1">
        <v>0</v>
      </c>
    </row>
    <row r="81" spans="1:14" x14ac:dyDescent="0.25">
      <c r="A81" s="1" t="s">
        <v>364</v>
      </c>
      <c r="B81" s="1" t="s">
        <v>425</v>
      </c>
      <c r="C81" s="1">
        <v>16</v>
      </c>
      <c r="D81" s="1">
        <v>16</v>
      </c>
      <c r="E81" s="1" t="s">
        <v>433</v>
      </c>
      <c r="F81" s="25">
        <v>1.7892525347532826</v>
      </c>
      <c r="G81" s="1">
        <v>36</v>
      </c>
      <c r="H81" s="1">
        <v>73</v>
      </c>
      <c r="I81" s="1" t="s">
        <v>436</v>
      </c>
      <c r="J81" s="8" t="s">
        <v>439</v>
      </c>
      <c r="L81" s="12">
        <v>3995.84</v>
      </c>
      <c r="M81" s="1">
        <v>1</v>
      </c>
      <c r="N81" s="1">
        <v>0</v>
      </c>
    </row>
    <row r="82" spans="1:14" x14ac:dyDescent="0.25">
      <c r="A82" s="1" t="s">
        <v>364</v>
      </c>
      <c r="B82" s="1" t="s">
        <v>426</v>
      </c>
      <c r="C82" s="1">
        <v>16</v>
      </c>
      <c r="D82" s="1">
        <v>16</v>
      </c>
      <c r="E82" s="1" t="s">
        <v>433</v>
      </c>
      <c r="F82" s="25">
        <v>2.4288102700308047</v>
      </c>
      <c r="G82" s="1">
        <v>36</v>
      </c>
      <c r="H82" s="1">
        <v>73</v>
      </c>
      <c r="I82" s="1" t="s">
        <v>436</v>
      </c>
      <c r="J82" s="8" t="s">
        <v>439</v>
      </c>
      <c r="L82" s="12">
        <v>3995.84</v>
      </c>
      <c r="M82" s="1">
        <v>1</v>
      </c>
      <c r="N82" s="1">
        <v>0</v>
      </c>
    </row>
    <row r="83" spans="1:14" x14ac:dyDescent="0.25">
      <c r="A83" s="1" t="s">
        <v>365</v>
      </c>
      <c r="B83" s="1" t="s">
        <v>402</v>
      </c>
      <c r="C83" s="1">
        <v>8</v>
      </c>
      <c r="D83" s="1">
        <v>8</v>
      </c>
      <c r="E83" s="1" t="s">
        <v>431</v>
      </c>
      <c r="F83" s="25">
        <v>5.8000000000000176</v>
      </c>
      <c r="G83" s="1">
        <v>36</v>
      </c>
      <c r="H83" s="1">
        <v>111</v>
      </c>
      <c r="I83" s="1" t="s">
        <v>436</v>
      </c>
      <c r="J83" s="8" t="s">
        <v>438</v>
      </c>
      <c r="L83" s="12">
        <v>4861.5</v>
      </c>
      <c r="M83" s="1">
        <v>1</v>
      </c>
      <c r="N83" s="1">
        <v>0</v>
      </c>
    </row>
    <row r="84" spans="1:14" x14ac:dyDescent="0.25">
      <c r="A84" s="1" t="s">
        <v>365</v>
      </c>
      <c r="B84" s="1" t="s">
        <v>364</v>
      </c>
      <c r="C84" s="1">
        <v>16</v>
      </c>
      <c r="D84" s="1">
        <v>16</v>
      </c>
      <c r="E84" s="1" t="s">
        <v>432</v>
      </c>
      <c r="F84" s="25">
        <v>1.5037371204874668</v>
      </c>
      <c r="G84" s="1">
        <v>36</v>
      </c>
      <c r="H84" s="1">
        <v>111</v>
      </c>
      <c r="I84" s="1" t="s">
        <v>436</v>
      </c>
      <c r="J84" s="8" t="s">
        <v>438</v>
      </c>
      <c r="L84" s="12">
        <v>4134.3500000000004</v>
      </c>
      <c r="M84" s="1">
        <v>1</v>
      </c>
      <c r="N84" s="1">
        <v>0</v>
      </c>
    </row>
    <row r="85" spans="1:14" x14ac:dyDescent="0.25">
      <c r="A85" s="1" t="s">
        <v>365</v>
      </c>
      <c r="B85" s="1" t="s">
        <v>365</v>
      </c>
      <c r="C85" s="1">
        <v>16</v>
      </c>
      <c r="D85" s="1">
        <v>16</v>
      </c>
      <c r="E85" s="1" t="s">
        <v>432</v>
      </c>
      <c r="F85" s="25">
        <v>2.5048819572843057</v>
      </c>
      <c r="G85" s="1">
        <v>36</v>
      </c>
      <c r="H85" s="1">
        <v>111</v>
      </c>
      <c r="I85" s="1" t="s">
        <v>436</v>
      </c>
      <c r="J85" s="8" t="s">
        <v>438</v>
      </c>
      <c r="L85" s="12">
        <v>4134.3500000000004</v>
      </c>
      <c r="M85" s="1">
        <v>1</v>
      </c>
      <c r="N85" s="1">
        <v>0</v>
      </c>
    </row>
    <row r="86" spans="1:14" x14ac:dyDescent="0.25">
      <c r="A86" s="1" t="s">
        <v>365</v>
      </c>
      <c r="B86" s="1" t="s">
        <v>424</v>
      </c>
      <c r="C86" s="1">
        <v>8</v>
      </c>
      <c r="D86" s="1">
        <v>8</v>
      </c>
      <c r="E86" s="1" t="s">
        <v>433</v>
      </c>
      <c r="F86" s="25">
        <v>1.760594433434113</v>
      </c>
      <c r="G86" s="1">
        <v>36</v>
      </c>
      <c r="H86" s="1">
        <v>73</v>
      </c>
      <c r="I86" s="1" t="s">
        <v>436</v>
      </c>
      <c r="J86" s="8" t="s">
        <v>439</v>
      </c>
      <c r="L86" s="12">
        <v>3995.84</v>
      </c>
      <c r="M86" s="1">
        <v>1</v>
      </c>
      <c r="N86" s="1">
        <v>0</v>
      </c>
    </row>
    <row r="87" spans="1:14" x14ac:dyDescent="0.25">
      <c r="A87" s="1" t="s">
        <v>365</v>
      </c>
      <c r="B87" s="1" t="s">
        <v>425</v>
      </c>
      <c r="C87" s="1">
        <v>16</v>
      </c>
      <c r="D87" s="1">
        <v>16</v>
      </c>
      <c r="E87" s="1" t="s">
        <v>433</v>
      </c>
      <c r="F87" s="25">
        <v>2.018284571236145</v>
      </c>
      <c r="G87" s="1">
        <v>36</v>
      </c>
      <c r="H87" s="1">
        <v>73</v>
      </c>
      <c r="I87" s="1" t="s">
        <v>436</v>
      </c>
      <c r="J87" s="8" t="s">
        <v>439</v>
      </c>
      <c r="L87" s="12">
        <v>3995.84</v>
      </c>
      <c r="M87" s="1">
        <v>1</v>
      </c>
      <c r="N87" s="1">
        <v>0</v>
      </c>
    </row>
    <row r="88" spans="1:14" x14ac:dyDescent="0.25">
      <c r="A88" s="1" t="s">
        <v>366</v>
      </c>
      <c r="B88" s="1" t="s">
        <v>402</v>
      </c>
      <c r="C88" s="1">
        <v>14</v>
      </c>
      <c r="D88" s="1">
        <v>14</v>
      </c>
      <c r="E88" s="1" t="s">
        <v>431</v>
      </c>
      <c r="F88" s="25">
        <v>3.7230325632100594</v>
      </c>
      <c r="G88" s="1">
        <v>36</v>
      </c>
      <c r="H88" s="1">
        <v>111</v>
      </c>
      <c r="I88" s="1" t="s">
        <v>436</v>
      </c>
      <c r="J88" s="8" t="s">
        <v>438</v>
      </c>
      <c r="L88" s="12">
        <v>4538.32</v>
      </c>
      <c r="M88" s="1">
        <v>1</v>
      </c>
      <c r="N88" s="1">
        <v>0</v>
      </c>
    </row>
    <row r="89" spans="1:14" x14ac:dyDescent="0.25">
      <c r="A89" s="1" t="s">
        <v>366</v>
      </c>
      <c r="B89" s="1" t="s">
        <v>364</v>
      </c>
      <c r="C89" s="1">
        <v>14</v>
      </c>
      <c r="D89" s="1">
        <v>14</v>
      </c>
      <c r="E89" s="1" t="s">
        <v>432</v>
      </c>
      <c r="F89" s="25">
        <v>4.4837857266218331</v>
      </c>
      <c r="G89" s="1">
        <v>36</v>
      </c>
      <c r="H89" s="1">
        <v>111</v>
      </c>
      <c r="I89" s="1" t="s">
        <v>436</v>
      </c>
      <c r="J89" s="8" t="s">
        <v>438</v>
      </c>
      <c r="L89" s="12">
        <v>4538.32</v>
      </c>
      <c r="M89" s="1">
        <v>1</v>
      </c>
      <c r="N89" s="1">
        <v>0</v>
      </c>
    </row>
    <row r="90" spans="1:14" x14ac:dyDescent="0.25">
      <c r="A90" s="1" t="s">
        <v>366</v>
      </c>
      <c r="B90" s="1" t="s">
        <v>424</v>
      </c>
      <c r="C90" s="1">
        <v>7</v>
      </c>
      <c r="D90" s="1">
        <v>7</v>
      </c>
      <c r="E90" s="1" t="s">
        <v>433</v>
      </c>
      <c r="F90" s="25">
        <v>1.147906570043979</v>
      </c>
      <c r="G90" s="1">
        <v>36</v>
      </c>
      <c r="H90" s="1">
        <v>73</v>
      </c>
      <c r="I90" s="1" t="s">
        <v>436</v>
      </c>
      <c r="J90" s="8" t="s">
        <v>439</v>
      </c>
      <c r="L90" s="12">
        <v>3995.84</v>
      </c>
      <c r="M90" s="1">
        <v>1</v>
      </c>
      <c r="N90" s="1">
        <v>0</v>
      </c>
    </row>
    <row r="91" spans="1:14" x14ac:dyDescent="0.25">
      <c r="A91" s="1" t="s">
        <v>366</v>
      </c>
      <c r="B91" s="1" t="s">
        <v>425</v>
      </c>
      <c r="C91" s="1">
        <v>14</v>
      </c>
      <c r="D91" s="1">
        <v>14</v>
      </c>
      <c r="E91" s="1" t="s">
        <v>433</v>
      </c>
      <c r="F91" s="25">
        <v>1.8852804473487683</v>
      </c>
      <c r="G91" s="1">
        <v>36</v>
      </c>
      <c r="H91" s="1">
        <v>73</v>
      </c>
      <c r="I91" s="1" t="s">
        <v>436</v>
      </c>
      <c r="J91" s="8" t="s">
        <v>439</v>
      </c>
      <c r="L91" s="12">
        <v>3995.84</v>
      </c>
      <c r="M91" s="1">
        <v>1</v>
      </c>
      <c r="N91" s="1">
        <v>0</v>
      </c>
    </row>
    <row r="92" spans="1:14" x14ac:dyDescent="0.25">
      <c r="A92" s="1" t="s">
        <v>366</v>
      </c>
      <c r="B92" s="1" t="s">
        <v>426</v>
      </c>
      <c r="C92" s="1">
        <v>14</v>
      </c>
      <c r="D92" s="1">
        <v>14</v>
      </c>
      <c r="E92" s="1" t="s">
        <v>433</v>
      </c>
      <c r="F92" s="25">
        <v>0.53495675114643204</v>
      </c>
      <c r="G92" s="1">
        <v>36</v>
      </c>
      <c r="H92" s="1">
        <v>73</v>
      </c>
      <c r="I92" s="1" t="s">
        <v>436</v>
      </c>
      <c r="J92" s="8" t="s">
        <v>439</v>
      </c>
      <c r="L92" s="12">
        <v>1117.52</v>
      </c>
      <c r="M92" s="1">
        <v>1</v>
      </c>
      <c r="N92" s="1">
        <v>0</v>
      </c>
    </row>
    <row r="93" spans="1:14" x14ac:dyDescent="0.25">
      <c r="A93" s="1" t="s">
        <v>367</v>
      </c>
      <c r="B93" s="1" t="s">
        <v>402</v>
      </c>
      <c r="C93" s="1">
        <v>6</v>
      </c>
      <c r="D93" s="1">
        <v>6</v>
      </c>
      <c r="E93" s="1" t="s">
        <v>431</v>
      </c>
      <c r="F93" s="25">
        <v>6.3999999999999995</v>
      </c>
      <c r="G93" s="1">
        <v>36</v>
      </c>
      <c r="H93" s="1">
        <v>111</v>
      </c>
      <c r="I93" s="1" t="s">
        <v>436</v>
      </c>
      <c r="J93" s="8" t="s">
        <v>438</v>
      </c>
      <c r="L93" s="12">
        <v>4861.5</v>
      </c>
      <c r="M93" s="1">
        <v>1</v>
      </c>
      <c r="N93" s="1">
        <v>0</v>
      </c>
    </row>
    <row r="94" spans="1:14" x14ac:dyDescent="0.25">
      <c r="A94" s="1" t="s">
        <v>367</v>
      </c>
      <c r="B94" s="1" t="s">
        <v>364</v>
      </c>
      <c r="C94" s="1">
        <v>12</v>
      </c>
      <c r="D94" s="1">
        <v>12</v>
      </c>
      <c r="E94" s="1" t="s">
        <v>432</v>
      </c>
      <c r="F94" s="25">
        <v>4.0595053030418748</v>
      </c>
      <c r="G94" s="1">
        <v>36</v>
      </c>
      <c r="H94" s="1">
        <v>111</v>
      </c>
      <c r="I94" s="1" t="s">
        <v>436</v>
      </c>
      <c r="J94" s="8" t="s">
        <v>438</v>
      </c>
      <c r="L94" s="12">
        <v>4538.32</v>
      </c>
      <c r="M94" s="1">
        <v>1</v>
      </c>
      <c r="N94" s="1">
        <v>0</v>
      </c>
    </row>
    <row r="95" spans="1:14" x14ac:dyDescent="0.25">
      <c r="A95" s="1" t="s">
        <v>367</v>
      </c>
      <c r="B95" s="1" t="s">
        <v>424</v>
      </c>
      <c r="C95" s="1">
        <v>6</v>
      </c>
      <c r="D95" s="1">
        <v>6</v>
      </c>
      <c r="E95" s="1" t="s">
        <v>433</v>
      </c>
      <c r="F95" s="25">
        <v>1.4920231571474909</v>
      </c>
      <c r="G95" s="1">
        <v>36</v>
      </c>
      <c r="H95" s="1">
        <v>73</v>
      </c>
      <c r="I95" s="1" t="s">
        <v>436</v>
      </c>
      <c r="J95" s="8" t="s">
        <v>439</v>
      </c>
      <c r="L95" s="12">
        <v>3995.84</v>
      </c>
      <c r="M95" s="1">
        <v>1</v>
      </c>
      <c r="N95" s="1">
        <v>0</v>
      </c>
    </row>
    <row r="96" spans="1:14" x14ac:dyDescent="0.25">
      <c r="A96" s="1" t="s">
        <v>367</v>
      </c>
      <c r="B96" s="1" t="s">
        <v>425</v>
      </c>
      <c r="C96" s="1">
        <v>12</v>
      </c>
      <c r="D96" s="1">
        <v>12</v>
      </c>
      <c r="E96" s="1" t="s">
        <v>433</v>
      </c>
      <c r="F96" s="25">
        <v>1.7803729067713707</v>
      </c>
      <c r="G96" s="1">
        <v>36</v>
      </c>
      <c r="H96" s="1">
        <v>73</v>
      </c>
      <c r="I96" s="1" t="s">
        <v>436</v>
      </c>
      <c r="J96" s="8" t="s">
        <v>439</v>
      </c>
      <c r="L96" s="12">
        <v>3995.84</v>
      </c>
      <c r="M96" s="1">
        <v>1</v>
      </c>
      <c r="N96" s="1">
        <v>0</v>
      </c>
    </row>
    <row r="97" spans="1:14" x14ac:dyDescent="0.25">
      <c r="A97" s="1" t="s">
        <v>368</v>
      </c>
      <c r="B97" s="1" t="s">
        <v>402</v>
      </c>
      <c r="C97" s="1">
        <v>5</v>
      </c>
      <c r="D97" s="1">
        <v>5</v>
      </c>
      <c r="E97" s="1" t="s">
        <v>431</v>
      </c>
      <c r="F97" s="25">
        <v>5.2999999999999892</v>
      </c>
      <c r="G97" s="1">
        <v>36</v>
      </c>
      <c r="H97" s="1">
        <v>111</v>
      </c>
      <c r="I97" s="1" t="s">
        <v>436</v>
      </c>
      <c r="J97" s="8" t="s">
        <v>438</v>
      </c>
      <c r="L97" s="12">
        <v>4538.32</v>
      </c>
      <c r="M97" s="1">
        <v>1</v>
      </c>
      <c r="N97" s="1">
        <v>0</v>
      </c>
    </row>
    <row r="98" spans="1:14" x14ac:dyDescent="0.25">
      <c r="A98" s="1" t="s">
        <v>368</v>
      </c>
      <c r="B98" s="1" t="s">
        <v>423</v>
      </c>
      <c r="C98" s="1">
        <v>5</v>
      </c>
      <c r="D98" s="1">
        <v>5</v>
      </c>
      <c r="E98" s="1" t="s">
        <v>431</v>
      </c>
      <c r="F98" s="25">
        <v>1.8</v>
      </c>
      <c r="G98" s="1">
        <v>36</v>
      </c>
      <c r="H98" s="1">
        <v>111</v>
      </c>
      <c r="I98" s="1" t="s">
        <v>436</v>
      </c>
      <c r="J98" s="8" t="s">
        <v>438</v>
      </c>
      <c r="L98" s="12">
        <v>4134.3500000000004</v>
      </c>
      <c r="M98" s="1">
        <v>1</v>
      </c>
      <c r="N98" s="1">
        <v>0</v>
      </c>
    </row>
    <row r="99" spans="1:14" x14ac:dyDescent="0.25">
      <c r="A99" s="1" t="s">
        <v>368</v>
      </c>
      <c r="B99" s="1" t="s">
        <v>364</v>
      </c>
      <c r="C99" s="1">
        <v>10</v>
      </c>
      <c r="D99" s="1">
        <v>10</v>
      </c>
      <c r="E99" s="1" t="s">
        <v>432</v>
      </c>
      <c r="F99" s="25">
        <v>4.4489159822078488</v>
      </c>
      <c r="G99" s="1">
        <v>36</v>
      </c>
      <c r="H99" s="1">
        <v>111</v>
      </c>
      <c r="I99" s="1" t="s">
        <v>436</v>
      </c>
      <c r="J99" s="8" t="s">
        <v>438</v>
      </c>
      <c r="L99" s="12">
        <v>4538.32</v>
      </c>
      <c r="M99" s="1">
        <v>1</v>
      </c>
      <c r="N99" s="1">
        <v>0</v>
      </c>
    </row>
    <row r="100" spans="1:14" x14ac:dyDescent="0.25">
      <c r="A100" s="1" t="s">
        <v>368</v>
      </c>
      <c r="B100" s="1" t="s">
        <v>424</v>
      </c>
      <c r="C100" s="1">
        <v>10</v>
      </c>
      <c r="D100" s="1">
        <v>10</v>
      </c>
      <c r="E100" s="1" t="s">
        <v>433</v>
      </c>
      <c r="F100" s="25">
        <v>2.0577091043958182</v>
      </c>
      <c r="G100" s="1">
        <v>36</v>
      </c>
      <c r="H100" s="1">
        <v>73</v>
      </c>
      <c r="I100" s="1" t="s">
        <v>436</v>
      </c>
      <c r="J100" s="8" t="s">
        <v>439</v>
      </c>
      <c r="L100" s="12">
        <v>3995.84</v>
      </c>
      <c r="M100" s="1">
        <v>1</v>
      </c>
      <c r="N100" s="1">
        <v>0</v>
      </c>
    </row>
    <row r="101" spans="1:14" x14ac:dyDescent="0.25">
      <c r="A101" s="1" t="s">
        <v>368</v>
      </c>
      <c r="B101" s="1" t="s">
        <v>425</v>
      </c>
      <c r="C101" s="1">
        <v>10</v>
      </c>
      <c r="D101" s="1">
        <v>10</v>
      </c>
      <c r="E101" s="1" t="s">
        <v>433</v>
      </c>
      <c r="F101" s="25">
        <v>0.99230743310640401</v>
      </c>
      <c r="G101" s="1">
        <v>36</v>
      </c>
      <c r="H101" s="1">
        <v>73</v>
      </c>
      <c r="I101" s="1" t="s">
        <v>436</v>
      </c>
      <c r="J101" s="8" t="s">
        <v>439</v>
      </c>
      <c r="L101" s="12">
        <v>3995.84</v>
      </c>
      <c r="M101" s="1">
        <v>1</v>
      </c>
      <c r="N101" s="1">
        <v>0</v>
      </c>
    </row>
    <row r="102" spans="1:14" x14ac:dyDescent="0.25">
      <c r="A102" s="1" t="s">
        <v>369</v>
      </c>
      <c r="B102" s="1" t="s">
        <v>402</v>
      </c>
      <c r="C102" s="1">
        <v>1</v>
      </c>
      <c r="D102" s="1">
        <v>1</v>
      </c>
      <c r="E102" s="1" t="s">
        <v>431</v>
      </c>
      <c r="F102" s="25">
        <v>5.2420047314593505</v>
      </c>
      <c r="G102" s="1">
        <v>36</v>
      </c>
      <c r="H102" s="1">
        <v>111</v>
      </c>
      <c r="I102" s="1" t="s">
        <v>436</v>
      </c>
      <c r="J102" s="8" t="s">
        <v>438</v>
      </c>
      <c r="L102" s="12">
        <v>4538.32</v>
      </c>
      <c r="M102" s="1">
        <v>1</v>
      </c>
      <c r="N102" s="1">
        <v>0</v>
      </c>
    </row>
    <row r="103" spans="1:14" x14ac:dyDescent="0.25">
      <c r="A103" s="1" t="s">
        <v>369</v>
      </c>
      <c r="B103" s="1" t="s">
        <v>423</v>
      </c>
      <c r="C103" s="1">
        <v>1</v>
      </c>
      <c r="D103" s="1">
        <v>1</v>
      </c>
      <c r="E103" s="1" t="s">
        <v>431</v>
      </c>
      <c r="F103" s="25">
        <v>1.8</v>
      </c>
      <c r="G103" s="1">
        <v>36</v>
      </c>
      <c r="H103" s="1">
        <v>111</v>
      </c>
      <c r="I103" s="1" t="s">
        <v>436</v>
      </c>
      <c r="J103" s="8" t="s">
        <v>438</v>
      </c>
      <c r="L103" s="12">
        <v>4134.3500000000004</v>
      </c>
      <c r="M103" s="1">
        <v>1</v>
      </c>
      <c r="N103" s="1">
        <v>0</v>
      </c>
    </row>
    <row r="104" spans="1:14" x14ac:dyDescent="0.25">
      <c r="A104" s="1" t="s">
        <v>369</v>
      </c>
      <c r="B104" s="1" t="s">
        <v>364</v>
      </c>
      <c r="C104" s="1">
        <v>1</v>
      </c>
      <c r="D104" s="1">
        <v>1</v>
      </c>
      <c r="E104" s="1" t="s">
        <v>432</v>
      </c>
      <c r="F104" s="25">
        <v>3.9393495577019393</v>
      </c>
      <c r="G104" s="1">
        <v>36</v>
      </c>
      <c r="H104" s="1">
        <v>111</v>
      </c>
      <c r="I104" s="1" t="s">
        <v>436</v>
      </c>
      <c r="J104" s="8" t="s">
        <v>438</v>
      </c>
      <c r="L104" s="12">
        <v>4538.32</v>
      </c>
      <c r="M104" s="1">
        <v>1</v>
      </c>
      <c r="N104" s="1">
        <v>0</v>
      </c>
    </row>
    <row r="105" spans="1:14" x14ac:dyDescent="0.25">
      <c r="A105" s="1" t="s">
        <v>369</v>
      </c>
      <c r="B105" s="1" t="s">
        <v>365</v>
      </c>
      <c r="C105" s="1">
        <v>1</v>
      </c>
      <c r="D105" s="1">
        <v>1</v>
      </c>
      <c r="E105" s="1" t="s">
        <v>432</v>
      </c>
      <c r="F105" s="25">
        <v>4.4489159822062163</v>
      </c>
      <c r="G105" s="1">
        <v>36</v>
      </c>
      <c r="H105" s="1">
        <v>111</v>
      </c>
      <c r="I105" s="1" t="s">
        <v>436</v>
      </c>
      <c r="J105" s="8" t="s">
        <v>438</v>
      </c>
      <c r="L105" s="12">
        <v>4538.32</v>
      </c>
      <c r="M105" s="1">
        <v>1</v>
      </c>
      <c r="N105" s="1">
        <v>0</v>
      </c>
    </row>
    <row r="106" spans="1:14" x14ac:dyDescent="0.25">
      <c r="A106" s="1" t="s">
        <v>369</v>
      </c>
      <c r="B106" s="1" t="s">
        <v>424</v>
      </c>
      <c r="C106" s="1">
        <v>2</v>
      </c>
      <c r="D106" s="1">
        <v>2</v>
      </c>
      <c r="E106" s="1" t="s">
        <v>433</v>
      </c>
      <c r="F106" s="25">
        <v>2.0577091043954137</v>
      </c>
      <c r="G106" s="1">
        <v>36</v>
      </c>
      <c r="H106" s="1">
        <v>73</v>
      </c>
      <c r="I106" s="1" t="s">
        <v>436</v>
      </c>
      <c r="J106" s="8" t="s">
        <v>439</v>
      </c>
      <c r="L106" s="12">
        <v>3995.84</v>
      </c>
      <c r="M106" s="1">
        <v>1</v>
      </c>
      <c r="N106" s="1">
        <v>0</v>
      </c>
    </row>
    <row r="107" spans="1:14" x14ac:dyDescent="0.25">
      <c r="A107" s="1" t="s">
        <v>369</v>
      </c>
      <c r="B107" s="1" t="s">
        <v>425</v>
      </c>
      <c r="C107" s="1">
        <v>2</v>
      </c>
      <c r="D107" s="1">
        <v>2</v>
      </c>
      <c r="E107" s="1" t="s">
        <v>433</v>
      </c>
      <c r="F107" s="25">
        <v>0.99230743310685054</v>
      </c>
      <c r="G107" s="1">
        <v>36</v>
      </c>
      <c r="H107" s="1">
        <v>73</v>
      </c>
      <c r="I107" s="1" t="s">
        <v>436</v>
      </c>
      <c r="J107" s="8" t="s">
        <v>439</v>
      </c>
      <c r="L107" s="12">
        <v>3995.84</v>
      </c>
      <c r="M107" s="1">
        <v>1</v>
      </c>
      <c r="N107" s="1">
        <v>0</v>
      </c>
    </row>
    <row r="108" spans="1:14" x14ac:dyDescent="0.25">
      <c r="A108" s="1" t="s">
        <v>370</v>
      </c>
      <c r="B108" s="1" t="s">
        <v>402</v>
      </c>
      <c r="C108" s="1">
        <v>5</v>
      </c>
      <c r="D108" s="1">
        <v>5</v>
      </c>
      <c r="E108" s="1" t="s">
        <v>431</v>
      </c>
      <c r="F108" s="25">
        <v>4.7300000000000013</v>
      </c>
      <c r="G108" s="1">
        <v>36</v>
      </c>
      <c r="H108" s="1">
        <v>111</v>
      </c>
      <c r="I108" s="1" t="s">
        <v>436</v>
      </c>
      <c r="J108" s="8" t="s">
        <v>438</v>
      </c>
      <c r="L108" s="12">
        <v>4538.32</v>
      </c>
      <c r="M108" s="1">
        <v>1</v>
      </c>
      <c r="N108" s="1">
        <v>0</v>
      </c>
    </row>
    <row r="109" spans="1:14" x14ac:dyDescent="0.25">
      <c r="A109" s="1" t="s">
        <v>370</v>
      </c>
      <c r="B109" s="1" t="s">
        <v>429</v>
      </c>
      <c r="C109" s="1">
        <v>5</v>
      </c>
      <c r="D109" s="1">
        <v>5</v>
      </c>
      <c r="E109" s="1" t="s">
        <v>434</v>
      </c>
      <c r="F109" s="25">
        <v>1.1862148241140531</v>
      </c>
      <c r="G109" s="1">
        <v>36</v>
      </c>
      <c r="H109" s="1">
        <v>73</v>
      </c>
      <c r="I109" s="1" t="s">
        <v>436</v>
      </c>
      <c r="J109" s="8" t="s">
        <v>439</v>
      </c>
      <c r="L109" s="12">
        <v>3995.84</v>
      </c>
      <c r="M109" s="1">
        <v>1</v>
      </c>
      <c r="N109" s="1">
        <v>0</v>
      </c>
    </row>
    <row r="110" spans="1:14" x14ac:dyDescent="0.25">
      <c r="A110" s="1" t="s">
        <v>370</v>
      </c>
      <c r="B110" s="1" t="s">
        <v>364</v>
      </c>
      <c r="C110" s="1">
        <v>5</v>
      </c>
      <c r="D110" s="1">
        <v>5</v>
      </c>
      <c r="E110" s="1" t="s">
        <v>432</v>
      </c>
      <c r="F110" s="25">
        <v>1.2446223936418923</v>
      </c>
      <c r="G110" s="1">
        <v>36</v>
      </c>
      <c r="H110" s="1">
        <v>111</v>
      </c>
      <c r="I110" s="1" t="s">
        <v>436</v>
      </c>
      <c r="J110" s="8" t="s">
        <v>438</v>
      </c>
      <c r="L110" s="12">
        <v>4134.3500000000004</v>
      </c>
      <c r="M110" s="1">
        <v>1</v>
      </c>
      <c r="N110" s="1">
        <v>0</v>
      </c>
    </row>
    <row r="111" spans="1:14" x14ac:dyDescent="0.25">
      <c r="A111" s="1" t="s">
        <v>370</v>
      </c>
      <c r="B111" s="1" t="s">
        <v>365</v>
      </c>
      <c r="C111" s="1">
        <v>5</v>
      </c>
      <c r="D111" s="1">
        <v>5</v>
      </c>
      <c r="E111" s="1" t="s">
        <v>432</v>
      </c>
      <c r="F111" s="25">
        <v>4.4489159822062154</v>
      </c>
      <c r="G111" s="1">
        <v>36</v>
      </c>
      <c r="H111" s="1">
        <v>111</v>
      </c>
      <c r="I111" s="1" t="s">
        <v>436</v>
      </c>
      <c r="J111" s="8" t="s">
        <v>438</v>
      </c>
      <c r="L111" s="12">
        <v>4538.32</v>
      </c>
      <c r="M111" s="1">
        <v>1</v>
      </c>
      <c r="N111" s="1">
        <v>0</v>
      </c>
    </row>
    <row r="112" spans="1:14" x14ac:dyDescent="0.25">
      <c r="A112" s="1" t="s">
        <v>370</v>
      </c>
      <c r="B112" s="1" t="s">
        <v>424</v>
      </c>
      <c r="C112" s="1">
        <v>5</v>
      </c>
      <c r="D112" s="1">
        <v>5</v>
      </c>
      <c r="E112" s="1" t="s">
        <v>433</v>
      </c>
      <c r="F112" s="25">
        <v>1.9285223877770814</v>
      </c>
      <c r="G112" s="1">
        <v>36</v>
      </c>
      <c r="H112" s="1">
        <v>73</v>
      </c>
      <c r="I112" s="1" t="s">
        <v>436</v>
      </c>
      <c r="J112" s="8" t="s">
        <v>439</v>
      </c>
      <c r="L112" s="12">
        <v>3995.84</v>
      </c>
      <c r="M112" s="1">
        <v>1</v>
      </c>
      <c r="N112" s="1">
        <v>0</v>
      </c>
    </row>
    <row r="113" spans="1:14" x14ac:dyDescent="0.25">
      <c r="A113" s="1" t="s">
        <v>370</v>
      </c>
      <c r="B113" s="1" t="s">
        <v>425</v>
      </c>
      <c r="C113" s="1">
        <v>5</v>
      </c>
      <c r="D113" s="1">
        <v>5</v>
      </c>
      <c r="E113" s="1" t="s">
        <v>433</v>
      </c>
      <c r="F113" s="25">
        <v>2.0577091043958498</v>
      </c>
      <c r="G113" s="1">
        <v>36</v>
      </c>
      <c r="H113" s="1">
        <v>73</v>
      </c>
      <c r="I113" s="1" t="s">
        <v>436</v>
      </c>
      <c r="J113" s="8" t="s">
        <v>439</v>
      </c>
      <c r="L113" s="12">
        <v>3995.84</v>
      </c>
      <c r="M113" s="1">
        <v>1</v>
      </c>
      <c r="N113" s="1">
        <v>0</v>
      </c>
    </row>
    <row r="114" spans="1:14" x14ac:dyDescent="0.25">
      <c r="A114" s="1" t="s">
        <v>370</v>
      </c>
      <c r="B114" s="1" t="s">
        <v>426</v>
      </c>
      <c r="C114" s="1">
        <v>5</v>
      </c>
      <c r="D114" s="1">
        <v>5</v>
      </c>
      <c r="E114" s="1" t="s">
        <v>433</v>
      </c>
      <c r="F114" s="25">
        <v>0.99230743310805269</v>
      </c>
      <c r="G114" s="1">
        <v>36</v>
      </c>
      <c r="H114" s="1">
        <v>73</v>
      </c>
      <c r="I114" s="1" t="s">
        <v>436</v>
      </c>
      <c r="J114" s="8" t="s">
        <v>439</v>
      </c>
      <c r="L114" s="12">
        <v>3995.84</v>
      </c>
      <c r="M114" s="1">
        <v>1</v>
      </c>
      <c r="N114" s="1">
        <v>0</v>
      </c>
    </row>
    <row r="115" spans="1:14" x14ac:dyDescent="0.25">
      <c r="A115" s="1" t="s">
        <v>371</v>
      </c>
      <c r="B115" s="1" t="s">
        <v>402</v>
      </c>
      <c r="C115" s="1">
        <v>8</v>
      </c>
      <c r="D115" s="1">
        <v>8</v>
      </c>
      <c r="E115" s="1" t="s">
        <v>431</v>
      </c>
      <c r="F115" s="25">
        <v>5.03</v>
      </c>
      <c r="G115" s="1">
        <v>36</v>
      </c>
      <c r="H115" s="1">
        <v>111</v>
      </c>
      <c r="I115" s="1" t="s">
        <v>436</v>
      </c>
      <c r="J115" s="8" t="s">
        <v>438</v>
      </c>
      <c r="L115" s="12">
        <v>4538.32</v>
      </c>
      <c r="M115" s="1">
        <v>1</v>
      </c>
      <c r="N115" s="1">
        <v>0</v>
      </c>
    </row>
    <row r="116" spans="1:14" x14ac:dyDescent="0.25">
      <c r="A116" s="1" t="s">
        <v>371</v>
      </c>
      <c r="B116" s="1" t="s">
        <v>429</v>
      </c>
      <c r="C116" s="1">
        <v>8</v>
      </c>
      <c r="D116" s="1">
        <v>8</v>
      </c>
      <c r="E116" s="1" t="s">
        <v>434</v>
      </c>
      <c r="F116" s="25">
        <v>1.0142264684957372</v>
      </c>
      <c r="G116" s="1">
        <v>36</v>
      </c>
      <c r="H116" s="1">
        <v>73</v>
      </c>
      <c r="I116" s="1" t="s">
        <v>436</v>
      </c>
      <c r="J116" s="8" t="s">
        <v>439</v>
      </c>
      <c r="L116" s="12">
        <v>3995.84</v>
      </c>
      <c r="M116" s="1">
        <v>1</v>
      </c>
      <c r="N116" s="1">
        <v>0</v>
      </c>
    </row>
    <row r="117" spans="1:14" x14ac:dyDescent="0.25">
      <c r="A117" s="1" t="s">
        <v>371</v>
      </c>
      <c r="B117" s="1" t="s">
        <v>364</v>
      </c>
      <c r="C117" s="1">
        <v>8</v>
      </c>
      <c r="D117" s="1">
        <v>8</v>
      </c>
      <c r="E117" s="1" t="s">
        <v>432</v>
      </c>
      <c r="F117" s="25">
        <v>5.4737751237063845</v>
      </c>
      <c r="G117" s="1">
        <v>36</v>
      </c>
      <c r="H117" s="1">
        <v>111</v>
      </c>
      <c r="I117" s="1" t="s">
        <v>436</v>
      </c>
      <c r="J117" s="8" t="s">
        <v>438</v>
      </c>
      <c r="L117" s="12">
        <v>4861.5</v>
      </c>
      <c r="M117" s="1">
        <v>1</v>
      </c>
      <c r="N117" s="1">
        <v>0</v>
      </c>
    </row>
    <row r="118" spans="1:14" x14ac:dyDescent="0.25">
      <c r="A118" s="1" t="s">
        <v>371</v>
      </c>
      <c r="B118" s="1" t="s">
        <v>424</v>
      </c>
      <c r="C118" s="1">
        <v>8</v>
      </c>
      <c r="D118" s="1">
        <v>8</v>
      </c>
      <c r="E118" s="1" t="s">
        <v>433</v>
      </c>
      <c r="F118" s="25">
        <v>1.7819851602172476</v>
      </c>
      <c r="G118" s="1">
        <v>36</v>
      </c>
      <c r="H118" s="1">
        <v>73</v>
      </c>
      <c r="I118" s="1" t="s">
        <v>436</v>
      </c>
      <c r="J118" s="8" t="s">
        <v>439</v>
      </c>
      <c r="L118" s="12">
        <v>3995.84</v>
      </c>
      <c r="M118" s="1">
        <v>1</v>
      </c>
      <c r="N118" s="1">
        <v>0</v>
      </c>
    </row>
    <row r="119" spans="1:14" x14ac:dyDescent="0.25">
      <c r="A119" s="1" t="s">
        <v>371</v>
      </c>
      <c r="B119" s="1" t="s">
        <v>425</v>
      </c>
      <c r="C119" s="1">
        <v>8</v>
      </c>
      <c r="D119" s="1">
        <v>8</v>
      </c>
      <c r="E119" s="1" t="s">
        <v>433</v>
      </c>
      <c r="F119" s="25">
        <v>1.0440290839365105</v>
      </c>
      <c r="G119" s="1">
        <v>36</v>
      </c>
      <c r="H119" s="1">
        <v>73</v>
      </c>
      <c r="I119" s="1" t="s">
        <v>436</v>
      </c>
      <c r="J119" s="8" t="s">
        <v>439</v>
      </c>
      <c r="L119" s="12">
        <v>3995.84</v>
      </c>
      <c r="M119" s="1">
        <v>1</v>
      </c>
      <c r="N119" s="1">
        <v>0</v>
      </c>
    </row>
    <row r="120" spans="1:14" x14ac:dyDescent="0.25">
      <c r="A120" s="1" t="s">
        <v>371</v>
      </c>
      <c r="B120" s="1" t="s">
        <v>426</v>
      </c>
      <c r="C120" s="1">
        <v>8</v>
      </c>
      <c r="D120" s="1">
        <v>8</v>
      </c>
      <c r="E120" s="1" t="s">
        <v>433</v>
      </c>
      <c r="F120" s="25">
        <v>0.93686411096747813</v>
      </c>
      <c r="G120" s="1">
        <v>36</v>
      </c>
      <c r="H120" s="1">
        <v>73</v>
      </c>
      <c r="I120" s="1" t="s">
        <v>436</v>
      </c>
      <c r="J120" s="8" t="s">
        <v>439</v>
      </c>
      <c r="L120" s="12">
        <v>3995.84</v>
      </c>
      <c r="M120" s="1">
        <v>1</v>
      </c>
      <c r="N120" s="1">
        <v>0</v>
      </c>
    </row>
    <row r="121" spans="1:14" x14ac:dyDescent="0.25">
      <c r="A121" s="1" t="s">
        <v>372</v>
      </c>
      <c r="B121" s="1" t="s">
        <v>402</v>
      </c>
      <c r="C121" s="1">
        <v>7</v>
      </c>
      <c r="D121" s="1">
        <v>7</v>
      </c>
      <c r="E121" s="1" t="s">
        <v>431</v>
      </c>
      <c r="F121" s="25">
        <v>3.66</v>
      </c>
      <c r="G121" s="1">
        <v>36</v>
      </c>
      <c r="H121" s="1">
        <v>111</v>
      </c>
      <c r="I121" s="1" t="s">
        <v>436</v>
      </c>
      <c r="J121" s="8" t="s">
        <v>438</v>
      </c>
      <c r="L121" s="12">
        <v>4538.32</v>
      </c>
      <c r="M121" s="1">
        <v>1</v>
      </c>
      <c r="N121" s="1">
        <v>0</v>
      </c>
    </row>
    <row r="122" spans="1:14" x14ac:dyDescent="0.25">
      <c r="A122" s="1" t="s">
        <v>372</v>
      </c>
      <c r="B122" s="1" t="s">
        <v>429</v>
      </c>
      <c r="C122" s="1">
        <v>7</v>
      </c>
      <c r="D122" s="1">
        <v>7</v>
      </c>
      <c r="E122" s="1" t="s">
        <v>434</v>
      </c>
      <c r="F122" s="25">
        <v>0.71050478067564471</v>
      </c>
      <c r="G122" s="1">
        <v>36</v>
      </c>
      <c r="H122" s="1">
        <v>73</v>
      </c>
      <c r="I122" s="1" t="s">
        <v>436</v>
      </c>
      <c r="J122" s="8" t="s">
        <v>439</v>
      </c>
      <c r="L122" s="12">
        <v>1117.52</v>
      </c>
      <c r="M122" s="1">
        <v>1</v>
      </c>
      <c r="N122" s="1">
        <v>0</v>
      </c>
    </row>
    <row r="123" spans="1:14" x14ac:dyDescent="0.25">
      <c r="A123" s="1" t="s">
        <v>372</v>
      </c>
      <c r="B123" s="1" t="s">
        <v>364</v>
      </c>
      <c r="C123" s="1">
        <v>7</v>
      </c>
      <c r="D123" s="1">
        <v>7</v>
      </c>
      <c r="E123" s="1" t="s">
        <v>432</v>
      </c>
      <c r="F123" s="25">
        <v>4.0705121890957292</v>
      </c>
      <c r="G123" s="1">
        <v>36</v>
      </c>
      <c r="H123" s="1">
        <v>111</v>
      </c>
      <c r="I123" s="1" t="s">
        <v>436</v>
      </c>
      <c r="J123" s="8" t="s">
        <v>438</v>
      </c>
      <c r="L123" s="12">
        <v>4538.32</v>
      </c>
      <c r="M123" s="1">
        <v>1</v>
      </c>
      <c r="N123" s="1">
        <v>0</v>
      </c>
    </row>
    <row r="124" spans="1:14" x14ac:dyDescent="0.25">
      <c r="A124" s="1" t="s">
        <v>372</v>
      </c>
      <c r="B124" s="1" t="s">
        <v>424</v>
      </c>
      <c r="C124" s="1">
        <v>7</v>
      </c>
      <c r="D124" s="1">
        <v>7</v>
      </c>
      <c r="E124" s="1" t="s">
        <v>433</v>
      </c>
      <c r="F124" s="25">
        <v>1.8048500353244046</v>
      </c>
      <c r="G124" s="1">
        <v>36</v>
      </c>
      <c r="H124" s="1">
        <v>73</v>
      </c>
      <c r="I124" s="1" t="s">
        <v>436</v>
      </c>
      <c r="J124" s="8" t="s">
        <v>439</v>
      </c>
      <c r="L124" s="12">
        <v>3995.84</v>
      </c>
      <c r="M124" s="1">
        <v>1</v>
      </c>
      <c r="N124" s="1">
        <v>0</v>
      </c>
    </row>
    <row r="125" spans="1:14" x14ac:dyDescent="0.25">
      <c r="A125" s="1" t="s">
        <v>372</v>
      </c>
      <c r="B125" s="1" t="s">
        <v>425</v>
      </c>
      <c r="C125" s="1">
        <v>7</v>
      </c>
      <c r="D125" s="1">
        <v>7</v>
      </c>
      <c r="E125" s="1" t="s">
        <v>433</v>
      </c>
      <c r="F125" s="25">
        <v>0.29975239033753609</v>
      </c>
      <c r="G125" s="1">
        <v>36</v>
      </c>
      <c r="H125" s="1">
        <v>73</v>
      </c>
      <c r="I125" s="1" t="s">
        <v>436</v>
      </c>
      <c r="J125" s="8" t="s">
        <v>439</v>
      </c>
      <c r="L125" s="12">
        <v>1117.52</v>
      </c>
      <c r="M125" s="1">
        <v>1</v>
      </c>
      <c r="N125" s="1">
        <v>0</v>
      </c>
    </row>
    <row r="126" spans="1:14" x14ac:dyDescent="0.25">
      <c r="A126" s="1" t="s">
        <v>381</v>
      </c>
      <c r="B126" s="1" t="s">
        <v>402</v>
      </c>
      <c r="C126" s="1">
        <v>1</v>
      </c>
      <c r="D126" s="1">
        <v>1</v>
      </c>
      <c r="E126" s="1" t="s">
        <v>431</v>
      </c>
      <c r="F126" s="25">
        <v>6.0000000000000009</v>
      </c>
      <c r="G126" s="1">
        <v>36</v>
      </c>
      <c r="H126" s="1">
        <v>111</v>
      </c>
      <c r="I126" s="1" t="s">
        <v>437</v>
      </c>
      <c r="J126" s="8" t="s">
        <v>440</v>
      </c>
      <c r="L126" s="12">
        <v>5824.1</v>
      </c>
      <c r="M126" s="1">
        <v>1</v>
      </c>
      <c r="N126" s="1">
        <v>0</v>
      </c>
    </row>
    <row r="127" spans="1:14" x14ac:dyDescent="0.25">
      <c r="A127" s="1" t="s">
        <v>381</v>
      </c>
      <c r="B127" s="1" t="s">
        <v>423</v>
      </c>
      <c r="C127" s="1">
        <v>1</v>
      </c>
      <c r="D127" s="1">
        <v>1</v>
      </c>
      <c r="E127" s="1" t="s">
        <v>431</v>
      </c>
      <c r="F127" s="25">
        <v>2.2000000000000428</v>
      </c>
      <c r="G127" s="1">
        <v>36</v>
      </c>
      <c r="H127" s="1">
        <v>111</v>
      </c>
      <c r="I127" s="1" t="s">
        <v>437</v>
      </c>
      <c r="J127" s="8" t="s">
        <v>440</v>
      </c>
      <c r="L127" s="12">
        <v>237.08</v>
      </c>
      <c r="M127" s="1">
        <v>1</v>
      </c>
      <c r="N127" s="1">
        <v>0</v>
      </c>
    </row>
    <row r="128" spans="1:14" x14ac:dyDescent="0.25">
      <c r="A128" s="1" t="s">
        <v>381</v>
      </c>
      <c r="B128" s="1" t="s">
        <v>364</v>
      </c>
      <c r="C128" s="1">
        <v>1</v>
      </c>
      <c r="D128" s="1">
        <v>1</v>
      </c>
      <c r="E128" s="1" t="s">
        <v>432</v>
      </c>
      <c r="F128" s="25">
        <v>4.4837857266211154</v>
      </c>
      <c r="G128" s="1">
        <v>36</v>
      </c>
      <c r="H128" s="1">
        <v>111</v>
      </c>
      <c r="I128" s="1" t="s">
        <v>436</v>
      </c>
      <c r="J128" s="8" t="s">
        <v>438</v>
      </c>
      <c r="L128" s="12">
        <v>4538.32</v>
      </c>
      <c r="M128" s="1">
        <v>1</v>
      </c>
      <c r="N128" s="1">
        <v>0</v>
      </c>
    </row>
    <row r="129" spans="1:14" x14ac:dyDescent="0.25">
      <c r="A129" s="1" t="s">
        <v>381</v>
      </c>
      <c r="B129" s="1" t="s">
        <v>365</v>
      </c>
      <c r="C129" s="1">
        <v>1</v>
      </c>
      <c r="D129" s="1">
        <v>1</v>
      </c>
      <c r="E129" s="1" t="s">
        <v>432</v>
      </c>
      <c r="F129" s="25">
        <v>4.9167426067383619</v>
      </c>
      <c r="G129" s="1">
        <v>36</v>
      </c>
      <c r="H129" s="1">
        <v>111</v>
      </c>
      <c r="I129" s="1" t="s">
        <v>437</v>
      </c>
      <c r="J129" s="8" t="s">
        <v>440</v>
      </c>
      <c r="L129" s="12">
        <v>5824.1</v>
      </c>
      <c r="M129" s="1">
        <v>1</v>
      </c>
      <c r="N129" s="1">
        <v>0</v>
      </c>
    </row>
    <row r="130" spans="1:14" x14ac:dyDescent="0.25">
      <c r="A130" s="1" t="s">
        <v>381</v>
      </c>
      <c r="B130" s="1" t="s">
        <v>424</v>
      </c>
      <c r="C130" s="1">
        <v>2</v>
      </c>
      <c r="D130" s="1">
        <v>2</v>
      </c>
      <c r="E130" s="1" t="s">
        <v>433</v>
      </c>
      <c r="F130" s="25">
        <v>2.1473363377141905</v>
      </c>
      <c r="G130" s="1">
        <v>36</v>
      </c>
      <c r="H130" s="1">
        <v>73</v>
      </c>
      <c r="I130" s="1" t="s">
        <v>436</v>
      </c>
      <c r="J130" s="8" t="s">
        <v>439</v>
      </c>
      <c r="L130" s="12">
        <v>3995.84</v>
      </c>
      <c r="M130" s="1">
        <v>1</v>
      </c>
      <c r="N130" s="1">
        <v>0</v>
      </c>
    </row>
    <row r="131" spans="1:14" x14ac:dyDescent="0.25">
      <c r="A131" s="1" t="s">
        <v>381</v>
      </c>
      <c r="B131" s="1" t="s">
        <v>425</v>
      </c>
      <c r="C131" s="1">
        <v>2</v>
      </c>
      <c r="D131" s="1">
        <v>2</v>
      </c>
      <c r="E131" s="1" t="s">
        <v>433</v>
      </c>
      <c r="F131" s="25">
        <v>1.0456372778003056</v>
      </c>
      <c r="G131" s="1">
        <v>36</v>
      </c>
      <c r="H131" s="1">
        <v>73</v>
      </c>
      <c r="I131" s="1" t="s">
        <v>436</v>
      </c>
      <c r="J131" s="8" t="s">
        <v>439</v>
      </c>
      <c r="L131" s="12">
        <v>3995.84</v>
      </c>
      <c r="M131" s="1">
        <v>1</v>
      </c>
      <c r="N131" s="1">
        <v>0</v>
      </c>
    </row>
    <row r="132" spans="1:14" x14ac:dyDescent="0.25">
      <c r="A132" s="1" t="s">
        <v>390</v>
      </c>
      <c r="B132" s="1" t="s">
        <v>402</v>
      </c>
      <c r="C132" s="1">
        <v>1</v>
      </c>
      <c r="D132" s="1">
        <v>1</v>
      </c>
      <c r="E132" s="1" t="s">
        <v>431</v>
      </c>
      <c r="F132" s="25">
        <v>6.6</v>
      </c>
      <c r="G132" s="1">
        <v>36</v>
      </c>
      <c r="H132" s="1">
        <v>111</v>
      </c>
      <c r="I132" s="1" t="s">
        <v>437</v>
      </c>
      <c r="J132" s="8" t="s">
        <v>440</v>
      </c>
      <c r="L132" s="12">
        <v>5824.1</v>
      </c>
      <c r="M132" s="1">
        <v>1</v>
      </c>
      <c r="N132" s="1">
        <v>0</v>
      </c>
    </row>
    <row r="133" spans="1:14" x14ac:dyDescent="0.25">
      <c r="A133" s="1" t="s">
        <v>390</v>
      </c>
      <c r="B133" s="1" t="s">
        <v>423</v>
      </c>
      <c r="C133" s="1">
        <v>1</v>
      </c>
      <c r="D133" s="1">
        <v>1</v>
      </c>
      <c r="E133" s="1" t="s">
        <v>431</v>
      </c>
      <c r="F133" s="25">
        <v>1.53</v>
      </c>
      <c r="G133" s="1">
        <v>36</v>
      </c>
      <c r="H133" s="1">
        <v>111</v>
      </c>
      <c r="I133" s="1" t="s">
        <v>437</v>
      </c>
      <c r="J133" s="8" t="s">
        <v>440</v>
      </c>
      <c r="L133" s="12">
        <v>237.08</v>
      </c>
      <c r="M133" s="1">
        <v>1</v>
      </c>
      <c r="N133" s="1">
        <v>0</v>
      </c>
    </row>
    <row r="134" spans="1:14" x14ac:dyDescent="0.25">
      <c r="A134" s="1" t="s">
        <v>390</v>
      </c>
      <c r="B134" s="1" t="s">
        <v>364</v>
      </c>
      <c r="C134" s="1">
        <v>1</v>
      </c>
      <c r="D134" s="1">
        <v>1</v>
      </c>
      <c r="E134" s="1" t="s">
        <v>432</v>
      </c>
      <c r="F134" s="25">
        <v>4.2889551305691453</v>
      </c>
      <c r="G134" s="1">
        <v>36</v>
      </c>
      <c r="H134" s="1">
        <v>111</v>
      </c>
      <c r="I134" s="1" t="s">
        <v>437</v>
      </c>
      <c r="J134" s="8" t="s">
        <v>440</v>
      </c>
      <c r="L134" s="12">
        <v>5824.1</v>
      </c>
      <c r="M134" s="1">
        <v>1</v>
      </c>
      <c r="N134" s="1">
        <v>0</v>
      </c>
    </row>
    <row r="135" spans="1:14" x14ac:dyDescent="0.25">
      <c r="A135" s="1" t="s">
        <v>390</v>
      </c>
      <c r="B135" s="1" t="s">
        <v>365</v>
      </c>
      <c r="C135" s="1">
        <v>1</v>
      </c>
      <c r="D135" s="1">
        <v>1</v>
      </c>
      <c r="E135" s="1" t="s">
        <v>432</v>
      </c>
      <c r="F135" s="25">
        <v>4.9167426067383584</v>
      </c>
      <c r="G135" s="1">
        <v>36</v>
      </c>
      <c r="H135" s="1">
        <v>111</v>
      </c>
      <c r="I135" s="1" t="s">
        <v>437</v>
      </c>
      <c r="J135" s="8" t="s">
        <v>440</v>
      </c>
      <c r="L135" s="12">
        <v>5824.1</v>
      </c>
      <c r="M135" s="1">
        <v>1</v>
      </c>
      <c r="N135" s="1">
        <v>0</v>
      </c>
    </row>
    <row r="136" spans="1:14" x14ac:dyDescent="0.25">
      <c r="A136" s="1" t="s">
        <v>390</v>
      </c>
      <c r="B136" s="1" t="s">
        <v>424</v>
      </c>
      <c r="C136" s="1">
        <v>2</v>
      </c>
      <c r="D136" s="1">
        <v>2</v>
      </c>
      <c r="E136" s="1" t="s">
        <v>433</v>
      </c>
      <c r="F136" s="25">
        <v>2.1473363377158496</v>
      </c>
      <c r="G136" s="1">
        <v>36</v>
      </c>
      <c r="H136" s="1">
        <v>73</v>
      </c>
      <c r="I136" s="1" t="s">
        <v>436</v>
      </c>
      <c r="J136" s="8" t="s">
        <v>439</v>
      </c>
      <c r="L136" s="12">
        <v>3995.84</v>
      </c>
      <c r="M136" s="1">
        <v>1</v>
      </c>
      <c r="N136" s="1">
        <v>0</v>
      </c>
    </row>
    <row r="137" spans="1:14" x14ac:dyDescent="0.25">
      <c r="A137" s="1" t="s">
        <v>390</v>
      </c>
      <c r="B137" s="1" t="s">
        <v>425</v>
      </c>
      <c r="C137" s="1">
        <v>2</v>
      </c>
      <c r="D137" s="1">
        <v>2</v>
      </c>
      <c r="E137" s="1" t="s">
        <v>433</v>
      </c>
      <c r="F137" s="25">
        <v>1.0456372777997713</v>
      </c>
      <c r="G137" s="1">
        <v>36</v>
      </c>
      <c r="H137" s="1">
        <v>73</v>
      </c>
      <c r="I137" s="1" t="s">
        <v>436</v>
      </c>
      <c r="J137" s="8" t="s">
        <v>439</v>
      </c>
      <c r="L137" s="12">
        <v>3995.84</v>
      </c>
      <c r="M137" s="1">
        <v>1</v>
      </c>
      <c r="N137" s="1">
        <v>0</v>
      </c>
    </row>
    <row r="138" spans="1:14" x14ac:dyDescent="0.25">
      <c r="A138" s="1" t="s">
        <v>390</v>
      </c>
      <c r="B138" s="1" t="s">
        <v>430</v>
      </c>
      <c r="C138" s="1">
        <v>1</v>
      </c>
      <c r="D138" s="1">
        <v>1</v>
      </c>
      <c r="E138" s="1" t="s">
        <v>435</v>
      </c>
      <c r="F138" s="25">
        <v>0.30496478793372805</v>
      </c>
      <c r="G138" s="1">
        <v>36</v>
      </c>
      <c r="H138" s="1">
        <v>73</v>
      </c>
      <c r="I138" s="1" t="s">
        <v>436</v>
      </c>
      <c r="J138" s="8" t="s">
        <v>439</v>
      </c>
      <c r="L138" s="12">
        <v>1117.52</v>
      </c>
      <c r="M138" s="1">
        <v>1</v>
      </c>
      <c r="N138" s="1">
        <v>0</v>
      </c>
    </row>
    <row r="139" spans="1:14" x14ac:dyDescent="0.25">
      <c r="A139" s="1" t="s">
        <v>374</v>
      </c>
      <c r="B139" s="1" t="s">
        <v>402</v>
      </c>
      <c r="C139" s="1">
        <v>9</v>
      </c>
      <c r="D139" s="1">
        <v>9</v>
      </c>
      <c r="E139" s="1" t="s">
        <v>431</v>
      </c>
      <c r="F139" s="25">
        <v>4.2</v>
      </c>
      <c r="G139" s="1">
        <v>36</v>
      </c>
      <c r="H139" s="1">
        <v>111</v>
      </c>
      <c r="I139" s="1" t="s">
        <v>437</v>
      </c>
      <c r="J139" s="8" t="s">
        <v>440</v>
      </c>
      <c r="L139" s="12">
        <v>5824.1</v>
      </c>
      <c r="M139" s="1">
        <v>1</v>
      </c>
      <c r="N139" s="1">
        <v>0</v>
      </c>
    </row>
    <row r="140" spans="1:14" x14ac:dyDescent="0.25">
      <c r="A140" s="1" t="s">
        <v>374</v>
      </c>
      <c r="B140" s="1" t="s">
        <v>423</v>
      </c>
      <c r="C140" s="1">
        <v>9</v>
      </c>
      <c r="D140" s="1">
        <v>9</v>
      </c>
      <c r="E140" s="1" t="s">
        <v>431</v>
      </c>
      <c r="F140" s="25">
        <v>2.6000000000000147</v>
      </c>
      <c r="G140" s="1">
        <v>36</v>
      </c>
      <c r="H140" s="1">
        <v>111</v>
      </c>
      <c r="I140" s="1" t="s">
        <v>437</v>
      </c>
      <c r="J140" s="8" t="s">
        <v>440</v>
      </c>
      <c r="L140" s="12">
        <v>237.08</v>
      </c>
      <c r="M140" s="1">
        <v>1</v>
      </c>
      <c r="N140" s="1">
        <v>0</v>
      </c>
    </row>
    <row r="141" spans="1:14" x14ac:dyDescent="0.25">
      <c r="A141" s="1" t="s">
        <v>374</v>
      </c>
      <c r="B141" s="1" t="s">
        <v>364</v>
      </c>
      <c r="C141" s="1">
        <v>18</v>
      </c>
      <c r="D141" s="1">
        <v>18</v>
      </c>
      <c r="E141" s="1" t="s">
        <v>432</v>
      </c>
      <c r="F141" s="25">
        <v>4.1590680665342603</v>
      </c>
      <c r="G141" s="1">
        <v>36</v>
      </c>
      <c r="H141" s="1">
        <v>111</v>
      </c>
      <c r="I141" s="1" t="s">
        <v>436</v>
      </c>
      <c r="J141" s="8" t="s">
        <v>438</v>
      </c>
      <c r="L141" s="12">
        <v>4538.32</v>
      </c>
      <c r="M141" s="1">
        <v>1</v>
      </c>
      <c r="N141" s="1">
        <v>0</v>
      </c>
    </row>
    <row r="142" spans="1:14" x14ac:dyDescent="0.25">
      <c r="A142" s="1" t="s">
        <v>374</v>
      </c>
      <c r="B142" s="1" t="s">
        <v>424</v>
      </c>
      <c r="C142" s="1">
        <v>9</v>
      </c>
      <c r="D142" s="1">
        <v>9</v>
      </c>
      <c r="E142" s="1" t="s">
        <v>433</v>
      </c>
      <c r="F142" s="25">
        <v>1.3384570156801383</v>
      </c>
      <c r="G142" s="1">
        <v>36</v>
      </c>
      <c r="H142" s="1">
        <v>73</v>
      </c>
      <c r="I142" s="1" t="s">
        <v>436</v>
      </c>
      <c r="J142" s="8" t="s">
        <v>439</v>
      </c>
      <c r="L142" s="12">
        <v>3995.84</v>
      </c>
      <c r="M142" s="1">
        <v>1</v>
      </c>
      <c r="N142" s="1">
        <v>0</v>
      </c>
    </row>
    <row r="143" spans="1:14" x14ac:dyDescent="0.25">
      <c r="A143" s="1" t="s">
        <v>374</v>
      </c>
      <c r="B143" s="1" t="s">
        <v>425</v>
      </c>
      <c r="C143" s="1">
        <v>18</v>
      </c>
      <c r="D143" s="1">
        <v>18</v>
      </c>
      <c r="E143" s="1" t="s">
        <v>433</v>
      </c>
      <c r="F143" s="25">
        <v>1.8600046793065161</v>
      </c>
      <c r="G143" s="1">
        <v>36</v>
      </c>
      <c r="H143" s="1">
        <v>73</v>
      </c>
      <c r="I143" s="1" t="s">
        <v>436</v>
      </c>
      <c r="J143" s="8" t="s">
        <v>439</v>
      </c>
      <c r="L143" s="12">
        <v>3995.84</v>
      </c>
      <c r="M143" s="1">
        <v>1</v>
      </c>
      <c r="N143" s="1">
        <v>0</v>
      </c>
    </row>
    <row r="144" spans="1:14" x14ac:dyDescent="0.25">
      <c r="A144" s="1" t="s">
        <v>403</v>
      </c>
      <c r="B144" s="1" t="s">
        <v>402</v>
      </c>
      <c r="C144" s="1">
        <v>2</v>
      </c>
      <c r="D144" s="1">
        <v>2</v>
      </c>
      <c r="E144" s="1" t="s">
        <v>431</v>
      </c>
      <c r="F144" s="25">
        <v>6.6</v>
      </c>
      <c r="G144" s="1">
        <v>36</v>
      </c>
      <c r="H144" s="1">
        <v>111</v>
      </c>
      <c r="I144" s="1" t="s">
        <v>437</v>
      </c>
      <c r="J144" s="8" t="s">
        <v>440</v>
      </c>
      <c r="L144" s="12">
        <v>5824.1</v>
      </c>
      <c r="M144" s="1">
        <v>1</v>
      </c>
      <c r="N144" s="1">
        <v>0</v>
      </c>
    </row>
    <row r="145" spans="1:14" x14ac:dyDescent="0.25">
      <c r="A145" s="1" t="s">
        <v>403</v>
      </c>
      <c r="B145" s="1" t="s">
        <v>423</v>
      </c>
      <c r="C145" s="1">
        <v>2</v>
      </c>
      <c r="D145" s="1">
        <v>2</v>
      </c>
      <c r="E145" s="1" t="s">
        <v>431</v>
      </c>
      <c r="F145" s="25">
        <v>1.5299999999999854</v>
      </c>
      <c r="G145" s="1">
        <v>36</v>
      </c>
      <c r="H145" s="1">
        <v>111</v>
      </c>
      <c r="I145" s="1" t="s">
        <v>437</v>
      </c>
      <c r="J145" s="8" t="s">
        <v>440</v>
      </c>
      <c r="L145" s="12">
        <v>237.08</v>
      </c>
      <c r="M145" s="1">
        <v>1</v>
      </c>
      <c r="N145" s="1">
        <v>0</v>
      </c>
    </row>
    <row r="146" spans="1:14" x14ac:dyDescent="0.25">
      <c r="A146" s="1" t="s">
        <v>403</v>
      </c>
      <c r="B146" s="1" t="s">
        <v>364</v>
      </c>
      <c r="C146" s="1">
        <v>2</v>
      </c>
      <c r="D146" s="1">
        <v>2</v>
      </c>
      <c r="E146" s="1" t="s">
        <v>432</v>
      </c>
      <c r="F146" s="25">
        <v>4.28895513057057</v>
      </c>
      <c r="G146" s="1">
        <v>36</v>
      </c>
      <c r="H146" s="1">
        <v>111</v>
      </c>
      <c r="I146" s="1" t="s">
        <v>436</v>
      </c>
      <c r="J146" s="8" t="s">
        <v>438</v>
      </c>
      <c r="L146" s="12">
        <v>4538.32</v>
      </c>
      <c r="M146" s="1">
        <v>1</v>
      </c>
      <c r="N146" s="1">
        <v>0</v>
      </c>
    </row>
    <row r="147" spans="1:14" x14ac:dyDescent="0.25">
      <c r="A147" s="1" t="s">
        <v>403</v>
      </c>
      <c r="B147" s="1" t="s">
        <v>365</v>
      </c>
      <c r="C147" s="1">
        <v>2</v>
      </c>
      <c r="D147" s="1">
        <v>2</v>
      </c>
      <c r="E147" s="1" t="s">
        <v>432</v>
      </c>
      <c r="F147" s="25">
        <v>4.4837857266211092</v>
      </c>
      <c r="G147" s="1">
        <v>36</v>
      </c>
      <c r="H147" s="1">
        <v>111</v>
      </c>
      <c r="I147" s="1" t="s">
        <v>436</v>
      </c>
      <c r="J147" s="8" t="s">
        <v>438</v>
      </c>
      <c r="L147" s="12">
        <v>4538.32</v>
      </c>
      <c r="M147" s="1">
        <v>1</v>
      </c>
      <c r="N147" s="1">
        <v>0</v>
      </c>
    </row>
    <row r="148" spans="1:14" x14ac:dyDescent="0.25">
      <c r="A148" s="1" t="s">
        <v>403</v>
      </c>
      <c r="B148" s="1" t="s">
        <v>424</v>
      </c>
      <c r="C148" s="1">
        <v>4</v>
      </c>
      <c r="D148" s="1">
        <v>4</v>
      </c>
      <c r="E148" s="1" t="s">
        <v>433</v>
      </c>
      <c r="F148" s="25">
        <v>2.1473363377158967</v>
      </c>
      <c r="G148" s="1">
        <v>36</v>
      </c>
      <c r="H148" s="1">
        <v>73</v>
      </c>
      <c r="I148" s="1" t="s">
        <v>436</v>
      </c>
      <c r="J148" s="8" t="s">
        <v>439</v>
      </c>
      <c r="L148" s="12">
        <v>3995.84</v>
      </c>
      <c r="M148" s="1">
        <v>1</v>
      </c>
      <c r="N148" s="1">
        <v>0</v>
      </c>
    </row>
    <row r="149" spans="1:14" x14ac:dyDescent="0.25">
      <c r="A149" s="1" t="s">
        <v>403</v>
      </c>
      <c r="B149" s="1" t="s">
        <v>425</v>
      </c>
      <c r="C149" s="1">
        <v>4</v>
      </c>
      <c r="D149" s="1">
        <v>4</v>
      </c>
      <c r="E149" s="1" t="s">
        <v>433</v>
      </c>
      <c r="F149" s="25">
        <v>1.0456372778004557</v>
      </c>
      <c r="G149" s="1">
        <v>36</v>
      </c>
      <c r="H149" s="1">
        <v>73</v>
      </c>
      <c r="I149" s="1" t="s">
        <v>436</v>
      </c>
      <c r="J149" s="8" t="s">
        <v>439</v>
      </c>
      <c r="L149" s="12">
        <v>3995.84</v>
      </c>
      <c r="M149" s="1">
        <v>1</v>
      </c>
      <c r="N149" s="1">
        <v>0</v>
      </c>
    </row>
    <row r="150" spans="1:14" x14ac:dyDescent="0.25">
      <c r="A150" s="1" t="s">
        <v>403</v>
      </c>
      <c r="B150" s="1" t="s">
        <v>430</v>
      </c>
      <c r="C150" s="1">
        <v>2</v>
      </c>
      <c r="D150" s="1">
        <v>2</v>
      </c>
      <c r="E150" s="1" t="s">
        <v>435</v>
      </c>
      <c r="F150" s="25">
        <v>0.30496478793301141</v>
      </c>
      <c r="G150" s="1">
        <v>36</v>
      </c>
      <c r="H150" s="1">
        <v>73</v>
      </c>
      <c r="I150" s="1" t="s">
        <v>436</v>
      </c>
      <c r="J150" s="8" t="s">
        <v>439</v>
      </c>
      <c r="L150" s="12">
        <v>1117.52</v>
      </c>
      <c r="M150" s="1">
        <v>1</v>
      </c>
      <c r="N150" s="1">
        <v>0</v>
      </c>
    </row>
    <row r="151" spans="1:14" x14ac:dyDescent="0.25">
      <c r="A151" s="1" t="s">
        <v>404</v>
      </c>
      <c r="B151" s="1" t="s">
        <v>402</v>
      </c>
      <c r="C151" s="1">
        <v>1</v>
      </c>
      <c r="D151" s="1">
        <v>1</v>
      </c>
      <c r="E151" s="1" t="s">
        <v>431</v>
      </c>
      <c r="F151" s="25">
        <v>6</v>
      </c>
      <c r="G151" s="1">
        <v>36</v>
      </c>
      <c r="H151" s="1">
        <v>111</v>
      </c>
      <c r="I151" s="1" t="s">
        <v>437</v>
      </c>
      <c r="J151" s="8" t="s">
        <v>440</v>
      </c>
      <c r="L151" s="12">
        <v>5824.1</v>
      </c>
      <c r="M151" s="1">
        <v>1</v>
      </c>
      <c r="N151" s="1">
        <v>0</v>
      </c>
    </row>
    <row r="152" spans="1:14" x14ac:dyDescent="0.25">
      <c r="A152" s="1" t="s">
        <v>404</v>
      </c>
      <c r="B152" s="1" t="s">
        <v>423</v>
      </c>
      <c r="C152" s="1">
        <v>1</v>
      </c>
      <c r="D152" s="1">
        <v>1</v>
      </c>
      <c r="E152" s="1" t="s">
        <v>431</v>
      </c>
      <c r="F152" s="25">
        <v>2.1999999999999873</v>
      </c>
      <c r="G152" s="1">
        <v>36</v>
      </c>
      <c r="H152" s="1">
        <v>111</v>
      </c>
      <c r="I152" s="1" t="s">
        <v>437</v>
      </c>
      <c r="J152" s="8" t="s">
        <v>440</v>
      </c>
      <c r="L152" s="12">
        <v>237.08</v>
      </c>
      <c r="M152" s="1">
        <v>1</v>
      </c>
      <c r="N152" s="1">
        <v>0</v>
      </c>
    </row>
    <row r="153" spans="1:14" x14ac:dyDescent="0.25">
      <c r="A153" s="1" t="s">
        <v>404</v>
      </c>
      <c r="B153" s="1" t="s">
        <v>364</v>
      </c>
      <c r="C153" s="1">
        <v>2</v>
      </c>
      <c r="D153" s="1">
        <v>2</v>
      </c>
      <c r="E153" s="1" t="s">
        <v>432</v>
      </c>
      <c r="F153" s="25">
        <v>4.4837857266211198</v>
      </c>
      <c r="G153" s="1">
        <v>36</v>
      </c>
      <c r="H153" s="1">
        <v>111</v>
      </c>
      <c r="I153" s="1" t="s">
        <v>436</v>
      </c>
      <c r="J153" s="8" t="s">
        <v>438</v>
      </c>
      <c r="L153" s="12">
        <v>4538.32</v>
      </c>
      <c r="M153" s="1">
        <v>1</v>
      </c>
      <c r="N153" s="1">
        <v>0</v>
      </c>
    </row>
    <row r="154" spans="1:14" x14ac:dyDescent="0.25">
      <c r="A154" s="1" t="s">
        <v>404</v>
      </c>
      <c r="B154" s="1" t="s">
        <v>424</v>
      </c>
      <c r="C154" s="1">
        <v>2</v>
      </c>
      <c r="D154" s="1">
        <v>2</v>
      </c>
      <c r="E154" s="1" t="s">
        <v>433</v>
      </c>
      <c r="F154" s="25">
        <v>2.1473363377161383</v>
      </c>
      <c r="G154" s="1">
        <v>36</v>
      </c>
      <c r="H154" s="1">
        <v>73</v>
      </c>
      <c r="I154" s="1" t="s">
        <v>436</v>
      </c>
      <c r="J154" s="8" t="s">
        <v>439</v>
      </c>
      <c r="L154" s="12">
        <v>3995.84</v>
      </c>
      <c r="M154" s="1">
        <v>1</v>
      </c>
      <c r="N154" s="1">
        <v>0</v>
      </c>
    </row>
    <row r="155" spans="1:14" x14ac:dyDescent="0.25">
      <c r="A155" s="1" t="s">
        <v>404</v>
      </c>
      <c r="B155" s="1" t="s">
        <v>425</v>
      </c>
      <c r="C155" s="1">
        <v>2</v>
      </c>
      <c r="D155" s="1">
        <v>2</v>
      </c>
      <c r="E155" s="1" t="s">
        <v>433</v>
      </c>
      <c r="F155" s="25">
        <v>1.0456372778018754</v>
      </c>
      <c r="G155" s="1">
        <v>36</v>
      </c>
      <c r="H155" s="1">
        <v>73</v>
      </c>
      <c r="I155" s="1" t="s">
        <v>436</v>
      </c>
      <c r="J155" s="8" t="s">
        <v>439</v>
      </c>
      <c r="L155" s="12">
        <v>3995.84</v>
      </c>
      <c r="M155" s="1">
        <v>1</v>
      </c>
      <c r="N155" s="1">
        <v>0</v>
      </c>
    </row>
    <row r="156" spans="1:14" x14ac:dyDescent="0.25">
      <c r="A156" s="1" t="s">
        <v>405</v>
      </c>
      <c r="B156" s="1" t="s">
        <v>402</v>
      </c>
      <c r="C156" s="1">
        <v>3</v>
      </c>
      <c r="D156" s="1">
        <v>3</v>
      </c>
      <c r="E156" s="1" t="s">
        <v>431</v>
      </c>
      <c r="F156" s="25">
        <v>6</v>
      </c>
      <c r="G156" s="1">
        <v>36</v>
      </c>
      <c r="H156" s="1">
        <v>111</v>
      </c>
      <c r="I156" s="1" t="s">
        <v>437</v>
      </c>
      <c r="J156" s="8" t="s">
        <v>440</v>
      </c>
      <c r="L156" s="12">
        <v>5824.1</v>
      </c>
      <c r="M156" s="1">
        <v>1</v>
      </c>
      <c r="N156" s="1">
        <v>0</v>
      </c>
    </row>
    <row r="157" spans="1:14" x14ac:dyDescent="0.25">
      <c r="A157" s="1" t="s">
        <v>405</v>
      </c>
      <c r="B157" s="1" t="s">
        <v>423</v>
      </c>
      <c r="C157" s="1">
        <v>3</v>
      </c>
      <c r="D157" s="1">
        <v>3</v>
      </c>
      <c r="E157" s="1" t="s">
        <v>431</v>
      </c>
      <c r="F157" s="25">
        <v>2.2000000000000002</v>
      </c>
      <c r="G157" s="1">
        <v>36</v>
      </c>
      <c r="H157" s="1">
        <v>111</v>
      </c>
      <c r="I157" s="1" t="s">
        <v>437</v>
      </c>
      <c r="J157" s="8" t="s">
        <v>440</v>
      </c>
      <c r="L157" s="12">
        <v>237.08</v>
      </c>
      <c r="M157" s="1">
        <v>1</v>
      </c>
      <c r="N157" s="1">
        <v>0</v>
      </c>
    </row>
    <row r="158" spans="1:14" x14ac:dyDescent="0.25">
      <c r="A158" s="1" t="s">
        <v>405</v>
      </c>
      <c r="B158" s="1" t="s">
        <v>364</v>
      </c>
      <c r="C158" s="1">
        <v>3</v>
      </c>
      <c r="D158" s="1">
        <v>3</v>
      </c>
      <c r="E158" s="1" t="s">
        <v>432</v>
      </c>
      <c r="F158" s="25">
        <v>4.9167426067383584</v>
      </c>
      <c r="G158" s="1">
        <v>36</v>
      </c>
      <c r="H158" s="1">
        <v>111</v>
      </c>
      <c r="I158" s="1" t="s">
        <v>436</v>
      </c>
      <c r="J158" s="8" t="s">
        <v>438</v>
      </c>
      <c r="L158" s="12">
        <v>4538.32</v>
      </c>
      <c r="M158" s="1">
        <v>1</v>
      </c>
      <c r="N158" s="1">
        <v>0</v>
      </c>
    </row>
    <row r="159" spans="1:14" x14ac:dyDescent="0.25">
      <c r="A159" s="1" t="s">
        <v>405</v>
      </c>
      <c r="B159" s="1" t="s">
        <v>365</v>
      </c>
      <c r="C159" s="1">
        <v>3</v>
      </c>
      <c r="D159" s="1">
        <v>3</v>
      </c>
      <c r="E159" s="1" t="s">
        <v>432</v>
      </c>
      <c r="F159" s="25">
        <v>4.4837857266218322</v>
      </c>
      <c r="G159" s="1">
        <v>36</v>
      </c>
      <c r="H159" s="1">
        <v>111</v>
      </c>
      <c r="I159" s="1" t="s">
        <v>436</v>
      </c>
      <c r="J159" s="8" t="s">
        <v>438</v>
      </c>
      <c r="L159" s="12">
        <v>4538.32</v>
      </c>
      <c r="M159" s="1">
        <v>1</v>
      </c>
      <c r="N159" s="1">
        <v>0</v>
      </c>
    </row>
    <row r="160" spans="1:14" x14ac:dyDescent="0.25">
      <c r="A160" s="1" t="s">
        <v>405</v>
      </c>
      <c r="B160" s="1" t="s">
        <v>424</v>
      </c>
      <c r="C160" s="1">
        <v>6</v>
      </c>
      <c r="D160" s="1">
        <v>6</v>
      </c>
      <c r="E160" s="1" t="s">
        <v>433</v>
      </c>
      <c r="F160" s="25">
        <v>2.1473363377157928</v>
      </c>
      <c r="G160" s="1">
        <v>36</v>
      </c>
      <c r="H160" s="1">
        <v>73</v>
      </c>
      <c r="I160" s="1" t="s">
        <v>436</v>
      </c>
      <c r="J160" s="8" t="s">
        <v>439</v>
      </c>
      <c r="L160" s="12">
        <v>3995.84</v>
      </c>
      <c r="M160" s="1">
        <v>1</v>
      </c>
      <c r="N160" s="1">
        <v>0</v>
      </c>
    </row>
    <row r="161" spans="1:14" x14ac:dyDescent="0.25">
      <c r="A161" s="1" t="s">
        <v>405</v>
      </c>
      <c r="B161" s="1" t="s">
        <v>425</v>
      </c>
      <c r="C161" s="1">
        <v>6</v>
      </c>
      <c r="D161" s="1">
        <v>6</v>
      </c>
      <c r="E161" s="1" t="s">
        <v>433</v>
      </c>
      <c r="F161" s="25">
        <v>1.045637277800765</v>
      </c>
      <c r="G161" s="1">
        <v>36</v>
      </c>
      <c r="H161" s="1">
        <v>73</v>
      </c>
      <c r="I161" s="1" t="s">
        <v>436</v>
      </c>
      <c r="J161" s="8" t="s">
        <v>439</v>
      </c>
      <c r="L161" s="12">
        <v>3995.84</v>
      </c>
      <c r="M161" s="1">
        <v>1</v>
      </c>
      <c r="N161" s="1">
        <v>0</v>
      </c>
    </row>
    <row r="162" spans="1:14" x14ac:dyDescent="0.25">
      <c r="A162" s="1" t="s">
        <v>406</v>
      </c>
      <c r="B162" s="1" t="s">
        <v>402</v>
      </c>
      <c r="C162" s="1">
        <v>6</v>
      </c>
      <c r="D162" s="1">
        <v>6</v>
      </c>
      <c r="E162" s="1" t="s">
        <v>431</v>
      </c>
      <c r="F162" s="25">
        <v>5.5</v>
      </c>
      <c r="G162" s="1">
        <v>36</v>
      </c>
      <c r="H162" s="1">
        <v>111</v>
      </c>
      <c r="I162" s="1" t="s">
        <v>437</v>
      </c>
      <c r="J162" s="8" t="s">
        <v>440</v>
      </c>
      <c r="L162" s="12">
        <v>5824.1</v>
      </c>
      <c r="M162" s="1">
        <v>1</v>
      </c>
      <c r="N162" s="1">
        <v>0</v>
      </c>
    </row>
    <row r="163" spans="1:14" x14ac:dyDescent="0.25">
      <c r="A163" s="1" t="s">
        <v>406</v>
      </c>
      <c r="B163" s="1" t="s">
        <v>423</v>
      </c>
      <c r="C163" s="1">
        <v>6</v>
      </c>
      <c r="D163" s="1">
        <v>6</v>
      </c>
      <c r="E163" s="1" t="s">
        <v>431</v>
      </c>
      <c r="F163" s="25">
        <v>3.9</v>
      </c>
      <c r="G163" s="1">
        <v>36</v>
      </c>
      <c r="H163" s="1">
        <v>111</v>
      </c>
      <c r="I163" s="1" t="s">
        <v>437</v>
      </c>
      <c r="J163" s="8" t="s">
        <v>440</v>
      </c>
      <c r="L163" s="12">
        <v>5824.1</v>
      </c>
      <c r="M163" s="1">
        <v>1</v>
      </c>
      <c r="N163" s="1">
        <v>0</v>
      </c>
    </row>
    <row r="164" spans="1:14" x14ac:dyDescent="0.25">
      <c r="A164" s="1" t="s">
        <v>406</v>
      </c>
      <c r="B164" s="1" t="s">
        <v>364</v>
      </c>
      <c r="C164" s="1">
        <v>12</v>
      </c>
      <c r="D164" s="1">
        <v>12</v>
      </c>
      <c r="E164" s="1" t="s">
        <v>432</v>
      </c>
      <c r="F164" s="25">
        <v>5.7284082137544798</v>
      </c>
      <c r="G164" s="1">
        <v>36</v>
      </c>
      <c r="H164" s="1">
        <v>111</v>
      </c>
      <c r="I164" s="1" t="s">
        <v>437</v>
      </c>
      <c r="J164" s="8" t="s">
        <v>440</v>
      </c>
      <c r="L164" s="12">
        <v>5824.1</v>
      </c>
      <c r="M164" s="1">
        <v>1</v>
      </c>
      <c r="N164" s="1">
        <v>0</v>
      </c>
    </row>
    <row r="165" spans="1:14" x14ac:dyDescent="0.25">
      <c r="A165" s="1" t="s">
        <v>406</v>
      </c>
      <c r="B165" s="1" t="s">
        <v>424</v>
      </c>
      <c r="C165" s="1">
        <v>12</v>
      </c>
      <c r="D165" s="1">
        <v>12</v>
      </c>
      <c r="E165" s="1" t="s">
        <v>433</v>
      </c>
      <c r="F165" s="25">
        <v>2.7368433489429287</v>
      </c>
      <c r="G165" s="1">
        <v>36</v>
      </c>
      <c r="H165" s="1">
        <v>73</v>
      </c>
      <c r="I165" s="1" t="s">
        <v>436</v>
      </c>
      <c r="J165" s="8" t="s">
        <v>439</v>
      </c>
      <c r="L165" s="12">
        <v>4757.62</v>
      </c>
      <c r="M165" s="1">
        <v>1</v>
      </c>
      <c r="N165" s="1">
        <v>0</v>
      </c>
    </row>
    <row r="166" spans="1:14" x14ac:dyDescent="0.25">
      <c r="A166" s="1" t="s">
        <v>406</v>
      </c>
      <c r="B166" s="1" t="s">
        <v>425</v>
      </c>
      <c r="C166" s="1">
        <v>12</v>
      </c>
      <c r="D166" s="1">
        <v>12</v>
      </c>
      <c r="E166" s="1" t="s">
        <v>433</v>
      </c>
      <c r="F166" s="25">
        <v>1.3308605823919166</v>
      </c>
      <c r="G166" s="1">
        <v>36</v>
      </c>
      <c r="H166" s="1">
        <v>73</v>
      </c>
      <c r="I166" s="1" t="s">
        <v>436</v>
      </c>
      <c r="J166" s="8" t="s">
        <v>439</v>
      </c>
      <c r="L166" s="12">
        <v>3995.84</v>
      </c>
      <c r="M166" s="1">
        <v>1</v>
      </c>
      <c r="N166" s="1">
        <v>0</v>
      </c>
    </row>
    <row r="167" spans="1:14" x14ac:dyDescent="0.25">
      <c r="A167" s="1" t="s">
        <v>407</v>
      </c>
      <c r="B167" s="1" t="s">
        <v>402</v>
      </c>
      <c r="C167" s="1">
        <v>9</v>
      </c>
      <c r="D167" s="1">
        <v>9</v>
      </c>
      <c r="E167" s="1" t="s">
        <v>431</v>
      </c>
      <c r="F167" s="25">
        <v>5.5</v>
      </c>
      <c r="G167" s="1">
        <v>36</v>
      </c>
      <c r="H167" s="1">
        <v>111</v>
      </c>
      <c r="I167" s="1" t="s">
        <v>437</v>
      </c>
      <c r="J167" s="8" t="s">
        <v>440</v>
      </c>
      <c r="L167" s="12">
        <v>5824.1</v>
      </c>
      <c r="M167" s="1">
        <v>1</v>
      </c>
      <c r="N167" s="1">
        <v>0</v>
      </c>
    </row>
    <row r="168" spans="1:14" x14ac:dyDescent="0.25">
      <c r="A168" s="1" t="s">
        <v>407</v>
      </c>
      <c r="B168" s="1" t="s">
        <v>423</v>
      </c>
      <c r="C168" s="1">
        <v>9</v>
      </c>
      <c r="D168" s="1">
        <v>9</v>
      </c>
      <c r="E168" s="1" t="s">
        <v>431</v>
      </c>
      <c r="F168" s="25">
        <v>3.9</v>
      </c>
      <c r="G168" s="1">
        <v>36</v>
      </c>
      <c r="H168" s="1">
        <v>111</v>
      </c>
      <c r="I168" s="1" t="s">
        <v>437</v>
      </c>
      <c r="J168" s="8" t="s">
        <v>440</v>
      </c>
      <c r="L168" s="12">
        <v>5824.1</v>
      </c>
      <c r="M168" s="1">
        <v>1</v>
      </c>
      <c r="N168" s="1">
        <v>0</v>
      </c>
    </row>
    <row r="169" spans="1:14" x14ac:dyDescent="0.25">
      <c r="A169" s="1" t="s">
        <v>407</v>
      </c>
      <c r="B169" s="1" t="s">
        <v>364</v>
      </c>
      <c r="C169" s="1">
        <v>18</v>
      </c>
      <c r="D169" s="1">
        <v>18</v>
      </c>
      <c r="E169" s="1" t="s">
        <v>432</v>
      </c>
      <c r="F169" s="25">
        <v>5.7284082137544807</v>
      </c>
      <c r="G169" s="1">
        <v>36</v>
      </c>
      <c r="H169" s="1">
        <v>111</v>
      </c>
      <c r="I169" s="1" t="s">
        <v>437</v>
      </c>
      <c r="J169" s="8" t="s">
        <v>440</v>
      </c>
      <c r="L169" s="12">
        <v>5824.1</v>
      </c>
      <c r="M169" s="1">
        <v>1</v>
      </c>
      <c r="N169" s="1">
        <v>0</v>
      </c>
    </row>
    <row r="170" spans="1:14" x14ac:dyDescent="0.25">
      <c r="A170" s="1" t="s">
        <v>407</v>
      </c>
      <c r="B170" s="1" t="s">
        <v>424</v>
      </c>
      <c r="C170" s="1">
        <v>18</v>
      </c>
      <c r="D170" s="1">
        <v>18</v>
      </c>
      <c r="E170" s="1" t="s">
        <v>433</v>
      </c>
      <c r="F170" s="25">
        <v>2.7368433489429282</v>
      </c>
      <c r="G170" s="1">
        <v>36</v>
      </c>
      <c r="H170" s="1">
        <v>73</v>
      </c>
      <c r="I170" s="1" t="s">
        <v>436</v>
      </c>
      <c r="J170" s="8" t="s">
        <v>439</v>
      </c>
      <c r="L170" s="12">
        <v>4757.62</v>
      </c>
      <c r="M170" s="1">
        <v>1</v>
      </c>
      <c r="N170" s="1">
        <v>0</v>
      </c>
    </row>
    <row r="171" spans="1:14" x14ac:dyDescent="0.25">
      <c r="A171" s="1" t="s">
        <v>407</v>
      </c>
      <c r="B171" s="1" t="s">
        <v>425</v>
      </c>
      <c r="C171" s="1">
        <v>18</v>
      </c>
      <c r="D171" s="1">
        <v>18</v>
      </c>
      <c r="E171" s="1" t="s">
        <v>433</v>
      </c>
      <c r="F171" s="25">
        <v>1.3308605823919166</v>
      </c>
      <c r="G171" s="1">
        <v>36</v>
      </c>
      <c r="H171" s="1">
        <v>73</v>
      </c>
      <c r="I171" s="1" t="s">
        <v>436</v>
      </c>
      <c r="J171" s="8" t="s">
        <v>439</v>
      </c>
      <c r="L171" s="12">
        <v>3995.84</v>
      </c>
      <c r="M171" s="1">
        <v>1</v>
      </c>
      <c r="N171" s="1">
        <v>0</v>
      </c>
    </row>
    <row r="172" spans="1:14" x14ac:dyDescent="0.25">
      <c r="A172" s="1" t="s">
        <v>376</v>
      </c>
      <c r="B172" s="1" t="s">
        <v>402</v>
      </c>
      <c r="C172" s="1">
        <v>1</v>
      </c>
      <c r="D172" s="1">
        <v>1</v>
      </c>
      <c r="E172" s="1" t="s">
        <v>431</v>
      </c>
      <c r="F172" s="25">
        <v>1.9639998092651367</v>
      </c>
      <c r="G172" s="1">
        <v>36</v>
      </c>
      <c r="H172" s="1">
        <v>73</v>
      </c>
      <c r="I172" s="1" t="s">
        <v>436</v>
      </c>
      <c r="J172" s="8" t="s">
        <v>439</v>
      </c>
      <c r="L172" s="12">
        <v>3995.84</v>
      </c>
      <c r="M172" s="1">
        <v>1</v>
      </c>
      <c r="N172" s="1">
        <v>0</v>
      </c>
    </row>
    <row r="173" spans="1:14" x14ac:dyDescent="0.25">
      <c r="A173" s="1" t="s">
        <v>376</v>
      </c>
      <c r="B173" s="1" t="s">
        <v>364</v>
      </c>
      <c r="C173" s="1">
        <v>2</v>
      </c>
      <c r="D173" s="1">
        <v>2</v>
      </c>
      <c r="E173" s="1" t="s">
        <v>432</v>
      </c>
      <c r="F173" s="25">
        <v>0.87215084458997594</v>
      </c>
      <c r="G173" s="1">
        <v>36</v>
      </c>
      <c r="H173" s="1">
        <v>73</v>
      </c>
      <c r="I173" s="1" t="s">
        <v>436</v>
      </c>
      <c r="J173" s="8" t="s">
        <v>439</v>
      </c>
      <c r="L173" s="12">
        <v>1117.52</v>
      </c>
      <c r="M173" s="1">
        <v>1</v>
      </c>
      <c r="N173" s="1">
        <v>0</v>
      </c>
    </row>
    <row r="174" spans="1:14" x14ac:dyDescent="0.25">
      <c r="A174" s="1" t="s">
        <v>376</v>
      </c>
      <c r="B174" s="1" t="s">
        <v>424</v>
      </c>
      <c r="C174" s="1">
        <v>1</v>
      </c>
      <c r="D174" s="1">
        <v>1</v>
      </c>
      <c r="E174" s="1" t="s">
        <v>433</v>
      </c>
      <c r="F174" s="25">
        <v>0.25474304812776172</v>
      </c>
      <c r="G174" s="1">
        <v>36</v>
      </c>
      <c r="H174" s="1">
        <v>73</v>
      </c>
      <c r="I174" s="1" t="s">
        <v>436</v>
      </c>
      <c r="J174" s="8" t="s">
        <v>439</v>
      </c>
      <c r="L174" s="12">
        <v>1117.52</v>
      </c>
      <c r="M174" s="1">
        <v>1</v>
      </c>
      <c r="N174" s="1">
        <v>0</v>
      </c>
    </row>
    <row r="175" spans="1:14" x14ac:dyDescent="0.25">
      <c r="A175" s="1" t="s">
        <v>375</v>
      </c>
      <c r="B175" s="1" t="s">
        <v>402</v>
      </c>
      <c r="C175" s="1">
        <v>1</v>
      </c>
      <c r="D175" s="1">
        <v>1</v>
      </c>
      <c r="E175" s="1" t="s">
        <v>431</v>
      </c>
      <c r="F175" s="25">
        <v>4.3639999046325686</v>
      </c>
      <c r="G175" s="1">
        <v>36</v>
      </c>
      <c r="H175" s="1">
        <v>73</v>
      </c>
      <c r="I175" s="1" t="s">
        <v>436</v>
      </c>
      <c r="J175" s="8" t="s">
        <v>439</v>
      </c>
      <c r="L175" s="12">
        <v>4757.62</v>
      </c>
      <c r="M175" s="1">
        <v>1</v>
      </c>
      <c r="N175" s="1">
        <v>0</v>
      </c>
    </row>
    <row r="176" spans="1:14" x14ac:dyDescent="0.25">
      <c r="A176" s="1" t="s">
        <v>375</v>
      </c>
      <c r="B176" s="1" t="s">
        <v>364</v>
      </c>
      <c r="C176" s="1">
        <v>2</v>
      </c>
      <c r="D176" s="1">
        <v>2</v>
      </c>
      <c r="E176" s="1" t="s">
        <v>432</v>
      </c>
      <c r="F176" s="25">
        <v>2.1710215365535568</v>
      </c>
      <c r="G176" s="1">
        <v>36</v>
      </c>
      <c r="H176" s="1">
        <v>73</v>
      </c>
      <c r="I176" s="1" t="s">
        <v>436</v>
      </c>
      <c r="J176" s="8" t="s">
        <v>439</v>
      </c>
      <c r="L176" s="12">
        <v>3995.84</v>
      </c>
      <c r="M176" s="1">
        <v>1</v>
      </c>
      <c r="N176" s="1">
        <v>0</v>
      </c>
    </row>
    <row r="177" spans="1:14" x14ac:dyDescent="0.25">
      <c r="A177" s="1" t="s">
        <v>375</v>
      </c>
      <c r="B177" s="1" t="s">
        <v>424</v>
      </c>
      <c r="C177" s="1">
        <v>1</v>
      </c>
      <c r="D177" s="1">
        <v>1</v>
      </c>
      <c r="E177" s="1" t="s">
        <v>433</v>
      </c>
      <c r="F177" s="25">
        <v>0.75179934272729698</v>
      </c>
      <c r="G177" s="1">
        <v>36</v>
      </c>
      <c r="H177" s="1">
        <v>73</v>
      </c>
      <c r="I177" s="1" t="s">
        <v>436</v>
      </c>
      <c r="J177" s="8" t="s">
        <v>439</v>
      </c>
      <c r="L177" s="12">
        <v>1117.52</v>
      </c>
      <c r="M177" s="1">
        <v>1</v>
      </c>
      <c r="N177" s="1">
        <v>0</v>
      </c>
    </row>
    <row r="178" spans="1:14" x14ac:dyDescent="0.25">
      <c r="A178" s="1" t="s">
        <v>375</v>
      </c>
      <c r="B178" s="1" t="s">
        <v>425</v>
      </c>
      <c r="C178" s="1">
        <v>2</v>
      </c>
      <c r="D178" s="1">
        <v>2</v>
      </c>
      <c r="E178" s="1" t="s">
        <v>433</v>
      </c>
      <c r="F178" s="25">
        <v>0.35270457537786898</v>
      </c>
      <c r="G178" s="1">
        <v>36</v>
      </c>
      <c r="H178" s="1">
        <v>73</v>
      </c>
      <c r="I178" s="1" t="s">
        <v>436</v>
      </c>
      <c r="J178" s="8" t="s">
        <v>439</v>
      </c>
      <c r="L178" s="12">
        <v>1117.52</v>
      </c>
      <c r="M178" s="1">
        <v>1</v>
      </c>
      <c r="N178" s="1">
        <v>0</v>
      </c>
    </row>
    <row r="179" spans="1:14" x14ac:dyDescent="0.25">
      <c r="A179" s="1" t="s">
        <v>378</v>
      </c>
      <c r="B179" s="1" t="s">
        <v>402</v>
      </c>
      <c r="C179" s="1">
        <v>1</v>
      </c>
      <c r="D179" s="1">
        <v>1</v>
      </c>
      <c r="E179" s="1" t="s">
        <v>431</v>
      </c>
      <c r="F179" s="25">
        <v>2.7639998092651368</v>
      </c>
      <c r="G179" s="1">
        <v>36</v>
      </c>
      <c r="H179" s="1">
        <v>73</v>
      </c>
      <c r="I179" s="1" t="s">
        <v>436</v>
      </c>
      <c r="J179" s="8" t="s">
        <v>439</v>
      </c>
      <c r="L179" s="12">
        <v>4757.62</v>
      </c>
      <c r="M179" s="1">
        <v>1</v>
      </c>
      <c r="N179" s="1">
        <v>0</v>
      </c>
    </row>
    <row r="180" spans="1:14" x14ac:dyDescent="0.25">
      <c r="A180" s="1" t="s">
        <v>378</v>
      </c>
      <c r="B180" s="1" t="s">
        <v>364</v>
      </c>
      <c r="C180" s="1">
        <v>2</v>
      </c>
      <c r="D180" s="1">
        <v>2</v>
      </c>
      <c r="E180" s="1" t="s">
        <v>432</v>
      </c>
      <c r="F180" s="25">
        <v>1.3051077247082261</v>
      </c>
      <c r="G180" s="1">
        <v>36</v>
      </c>
      <c r="H180" s="1">
        <v>73</v>
      </c>
      <c r="I180" s="1" t="s">
        <v>436</v>
      </c>
      <c r="J180" s="8" t="s">
        <v>439</v>
      </c>
      <c r="L180" s="12">
        <v>3995.84</v>
      </c>
      <c r="M180" s="1">
        <v>1</v>
      </c>
      <c r="N180" s="1">
        <v>0</v>
      </c>
    </row>
    <row r="181" spans="1:14" x14ac:dyDescent="0.25">
      <c r="A181" s="1" t="s">
        <v>378</v>
      </c>
      <c r="B181" s="1" t="s">
        <v>424</v>
      </c>
      <c r="C181" s="1">
        <v>1</v>
      </c>
      <c r="D181" s="1">
        <v>1</v>
      </c>
      <c r="E181" s="1" t="s">
        <v>433</v>
      </c>
      <c r="F181" s="25">
        <v>0.42042847307376341</v>
      </c>
      <c r="G181" s="1">
        <v>36</v>
      </c>
      <c r="H181" s="1">
        <v>73</v>
      </c>
      <c r="I181" s="1" t="s">
        <v>436</v>
      </c>
      <c r="J181" s="8" t="s">
        <v>439</v>
      </c>
      <c r="L181" s="12">
        <v>1117.52</v>
      </c>
      <c r="M181" s="1">
        <v>1</v>
      </c>
      <c r="N181" s="1">
        <v>0</v>
      </c>
    </row>
    <row r="182" spans="1:14" x14ac:dyDescent="0.25">
      <c r="A182" s="1" t="s">
        <v>377</v>
      </c>
      <c r="B182" s="1" t="s">
        <v>402</v>
      </c>
      <c r="C182" s="1">
        <v>1</v>
      </c>
      <c r="D182" s="1">
        <v>1</v>
      </c>
      <c r="E182" s="1" t="s">
        <v>431</v>
      </c>
      <c r="F182" s="25">
        <v>5.1639999046325684</v>
      </c>
      <c r="G182" s="1">
        <v>36</v>
      </c>
      <c r="H182" s="1">
        <v>73</v>
      </c>
      <c r="I182" s="1" t="s">
        <v>436</v>
      </c>
      <c r="J182" s="8" t="s">
        <v>439</v>
      </c>
      <c r="L182" s="12">
        <v>4757.62</v>
      </c>
      <c r="M182" s="1">
        <v>1</v>
      </c>
      <c r="N182" s="1">
        <v>0</v>
      </c>
    </row>
    <row r="183" spans="1:14" x14ac:dyDescent="0.25">
      <c r="A183" s="1" t="s">
        <v>377</v>
      </c>
      <c r="B183" s="1" t="s">
        <v>364</v>
      </c>
      <c r="C183" s="1">
        <v>2</v>
      </c>
      <c r="D183" s="1">
        <v>2</v>
      </c>
      <c r="E183" s="1" t="s">
        <v>432</v>
      </c>
      <c r="F183" s="25">
        <v>2.6039784166700901</v>
      </c>
      <c r="G183" s="1">
        <v>36</v>
      </c>
      <c r="H183" s="1">
        <v>73</v>
      </c>
      <c r="I183" s="1" t="s">
        <v>436</v>
      </c>
      <c r="J183" s="8" t="s">
        <v>439</v>
      </c>
      <c r="L183" s="12">
        <v>3995.84</v>
      </c>
      <c r="M183" s="1">
        <v>1</v>
      </c>
      <c r="N183" s="1">
        <v>0</v>
      </c>
    </row>
    <row r="184" spans="1:14" x14ac:dyDescent="0.25">
      <c r="A184" s="1" t="s">
        <v>377</v>
      </c>
      <c r="B184" s="1" t="s">
        <v>424</v>
      </c>
      <c r="C184" s="1">
        <v>1</v>
      </c>
      <c r="D184" s="1">
        <v>1</v>
      </c>
      <c r="E184" s="1" t="s">
        <v>433</v>
      </c>
      <c r="F184" s="25">
        <v>0.91748476767354414</v>
      </c>
      <c r="G184" s="1">
        <v>36</v>
      </c>
      <c r="H184" s="1">
        <v>73</v>
      </c>
      <c r="I184" s="1" t="s">
        <v>436</v>
      </c>
      <c r="J184" s="8" t="s">
        <v>439</v>
      </c>
      <c r="L184" s="12">
        <v>3995.84</v>
      </c>
      <c r="M184" s="1">
        <v>1</v>
      </c>
      <c r="N184" s="1">
        <v>0</v>
      </c>
    </row>
    <row r="185" spans="1:14" x14ac:dyDescent="0.25">
      <c r="A185" s="1" t="s">
        <v>377</v>
      </c>
      <c r="B185" s="1" t="s">
        <v>425</v>
      </c>
      <c r="C185" s="1">
        <v>2</v>
      </c>
      <c r="D185" s="1">
        <v>2</v>
      </c>
      <c r="E185" s="1" t="s">
        <v>433</v>
      </c>
      <c r="F185" s="25">
        <v>0.51839000032704374</v>
      </c>
      <c r="G185" s="1">
        <v>36</v>
      </c>
      <c r="H185" s="1">
        <v>73</v>
      </c>
      <c r="I185" s="1" t="s">
        <v>436</v>
      </c>
      <c r="J185" s="8" t="s">
        <v>439</v>
      </c>
      <c r="L185" s="12">
        <v>1117.52</v>
      </c>
      <c r="M185" s="1">
        <v>1</v>
      </c>
      <c r="N185" s="1">
        <v>0</v>
      </c>
    </row>
    <row r="186" spans="1:14" x14ac:dyDescent="0.25">
      <c r="A186" s="1" t="s">
        <v>380</v>
      </c>
      <c r="B186" s="1" t="s">
        <v>402</v>
      </c>
      <c r="C186" s="1">
        <v>1</v>
      </c>
      <c r="D186" s="1">
        <v>1</v>
      </c>
      <c r="E186" s="1" t="s">
        <v>431</v>
      </c>
      <c r="F186" s="25">
        <v>2.4639998092651365</v>
      </c>
      <c r="G186" s="1">
        <v>36</v>
      </c>
      <c r="H186" s="1">
        <v>73</v>
      </c>
      <c r="I186" s="1" t="s">
        <v>436</v>
      </c>
      <c r="J186" s="8" t="s">
        <v>439</v>
      </c>
      <c r="L186" s="12">
        <v>3995.84</v>
      </c>
      <c r="M186" s="1">
        <v>1</v>
      </c>
      <c r="N186" s="1">
        <v>0</v>
      </c>
    </row>
    <row r="187" spans="1:14" x14ac:dyDescent="0.25">
      <c r="A187" s="1" t="s">
        <v>380</v>
      </c>
      <c r="B187" s="1" t="s">
        <v>364</v>
      </c>
      <c r="C187" s="1">
        <v>2</v>
      </c>
      <c r="D187" s="1">
        <v>2</v>
      </c>
      <c r="E187" s="1" t="s">
        <v>432</v>
      </c>
      <c r="F187" s="25">
        <v>1.2041999261729883</v>
      </c>
      <c r="G187" s="1">
        <v>36</v>
      </c>
      <c r="H187" s="1">
        <v>73</v>
      </c>
      <c r="I187" s="1" t="s">
        <v>436</v>
      </c>
      <c r="J187" s="8" t="s">
        <v>439</v>
      </c>
      <c r="L187" s="12">
        <v>3995.84</v>
      </c>
      <c r="M187" s="1">
        <v>1</v>
      </c>
      <c r="N187" s="1">
        <v>0</v>
      </c>
    </row>
    <row r="188" spans="1:14" x14ac:dyDescent="0.25">
      <c r="A188" s="1" t="s">
        <v>380</v>
      </c>
      <c r="B188" s="1" t="s">
        <v>424</v>
      </c>
      <c r="C188" s="1">
        <v>1</v>
      </c>
      <c r="D188" s="1">
        <v>1</v>
      </c>
      <c r="E188" s="1" t="s">
        <v>433</v>
      </c>
      <c r="F188" s="25">
        <v>0.44666656094510115</v>
      </c>
      <c r="G188" s="1">
        <v>36</v>
      </c>
      <c r="H188" s="1">
        <v>73</v>
      </c>
      <c r="I188" s="1" t="s">
        <v>436</v>
      </c>
      <c r="J188" s="8" t="s">
        <v>439</v>
      </c>
      <c r="L188" s="12">
        <v>1117.52</v>
      </c>
      <c r="M188" s="1">
        <v>1</v>
      </c>
      <c r="N188" s="1">
        <v>0</v>
      </c>
    </row>
    <row r="189" spans="1:14" x14ac:dyDescent="0.25">
      <c r="A189" s="1" t="s">
        <v>379</v>
      </c>
      <c r="B189" s="1" t="s">
        <v>402</v>
      </c>
      <c r="C189" s="1">
        <v>1</v>
      </c>
      <c r="D189" s="1">
        <v>1</v>
      </c>
      <c r="E189" s="1" t="s">
        <v>431</v>
      </c>
      <c r="F189" s="25">
        <v>4.8639999046325686</v>
      </c>
      <c r="G189" s="1">
        <v>36</v>
      </c>
      <c r="H189" s="1">
        <v>73</v>
      </c>
      <c r="I189" s="1" t="s">
        <v>436</v>
      </c>
      <c r="J189" s="8" t="s">
        <v>439</v>
      </c>
      <c r="L189" s="12">
        <v>4757.62</v>
      </c>
      <c r="M189" s="1">
        <v>1</v>
      </c>
      <c r="N189" s="1">
        <v>0</v>
      </c>
    </row>
    <row r="190" spans="1:14" x14ac:dyDescent="0.25">
      <c r="A190" s="1" t="s">
        <v>379</v>
      </c>
      <c r="B190" s="1" t="s">
        <v>364</v>
      </c>
      <c r="C190" s="1">
        <v>2</v>
      </c>
      <c r="D190" s="1">
        <v>2</v>
      </c>
      <c r="E190" s="1" t="s">
        <v>432</v>
      </c>
      <c r="F190" s="25">
        <v>2.5393223077941078</v>
      </c>
      <c r="G190" s="1">
        <v>36</v>
      </c>
      <c r="H190" s="1">
        <v>73</v>
      </c>
      <c r="I190" s="1" t="s">
        <v>436</v>
      </c>
      <c r="J190" s="8" t="s">
        <v>439</v>
      </c>
      <c r="L190" s="12">
        <v>3995.84</v>
      </c>
      <c r="M190" s="1">
        <v>1</v>
      </c>
      <c r="N190" s="1">
        <v>0</v>
      </c>
    </row>
    <row r="191" spans="1:14" x14ac:dyDescent="0.25">
      <c r="A191" s="1" t="s">
        <v>379</v>
      </c>
      <c r="B191" s="1" t="s">
        <v>424</v>
      </c>
      <c r="C191" s="1">
        <v>1</v>
      </c>
      <c r="D191" s="1">
        <v>1</v>
      </c>
      <c r="E191" s="1" t="s">
        <v>433</v>
      </c>
      <c r="F191" s="25">
        <v>1.0319456904800608</v>
      </c>
      <c r="G191" s="1">
        <v>36</v>
      </c>
      <c r="H191" s="1">
        <v>73</v>
      </c>
      <c r="I191" s="1" t="s">
        <v>436</v>
      </c>
      <c r="J191" s="8" t="s">
        <v>439</v>
      </c>
      <c r="L191" s="12">
        <v>3995.84</v>
      </c>
      <c r="M191" s="1">
        <v>1</v>
      </c>
      <c r="N191" s="1">
        <v>0</v>
      </c>
    </row>
    <row r="192" spans="1:14" x14ac:dyDescent="0.25">
      <c r="A192" s="1" t="s">
        <v>379</v>
      </c>
      <c r="B192" s="1" t="s">
        <v>425</v>
      </c>
      <c r="C192" s="1">
        <v>2</v>
      </c>
      <c r="D192" s="1">
        <v>2</v>
      </c>
      <c r="E192" s="1" t="s">
        <v>433</v>
      </c>
      <c r="F192" s="25">
        <v>0.56201534139708242</v>
      </c>
      <c r="G192" s="1">
        <v>36</v>
      </c>
      <c r="H192" s="1">
        <v>73</v>
      </c>
      <c r="I192" s="1" t="s">
        <v>436</v>
      </c>
      <c r="J192" s="8" t="s">
        <v>439</v>
      </c>
      <c r="L192" s="12">
        <v>1117.52</v>
      </c>
      <c r="M192" s="1">
        <v>1</v>
      </c>
      <c r="N192" s="1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63AD7-9592-4FD2-8C4E-F4E13754D895}">
  <sheetPr codeName="Sheet2"/>
  <dimension ref="A1:N1257"/>
  <sheetViews>
    <sheetView workbookViewId="0">
      <selection activeCell="D1" sqref="D1"/>
    </sheetView>
  </sheetViews>
  <sheetFormatPr defaultRowHeight="13.2" x14ac:dyDescent="0.25"/>
  <cols>
    <col min="1" max="2" width="8.88671875" customWidth="1"/>
    <col min="3" max="3" width="30.6640625" customWidth="1"/>
    <col min="4" max="4" width="14" customWidth="1"/>
    <col min="5" max="5" width="14.44140625" style="1" bestFit="1" customWidth="1"/>
    <col min="6" max="7" width="12.6640625" style="1" customWidth="1"/>
    <col min="8" max="8" width="12.6640625" customWidth="1"/>
    <col min="9" max="9" width="12.6640625" style="12" customWidth="1"/>
  </cols>
  <sheetData>
    <row r="1" spans="1:14" s="15" customFormat="1" x14ac:dyDescent="0.25">
      <c r="A1" s="17" t="s">
        <v>115</v>
      </c>
      <c r="B1" s="17" t="s">
        <v>75</v>
      </c>
      <c r="C1" s="17" t="s">
        <v>8</v>
      </c>
      <c r="D1" s="17" t="s">
        <v>142</v>
      </c>
      <c r="E1" s="17" t="s">
        <v>50</v>
      </c>
      <c r="F1" s="17" t="s">
        <v>64</v>
      </c>
      <c r="G1" s="17" t="s">
        <v>52</v>
      </c>
      <c r="H1" s="34" t="s">
        <v>139</v>
      </c>
      <c r="I1" s="18" t="s">
        <v>182</v>
      </c>
      <c r="K1" s="14"/>
      <c r="M1" s="16"/>
      <c r="N1" s="16"/>
    </row>
    <row r="2" spans="1:14" x14ac:dyDescent="0.25">
      <c r="H2" s="25"/>
    </row>
    <row r="3" spans="1:14" x14ac:dyDescent="0.25">
      <c r="H3" s="25"/>
    </row>
    <row r="4" spans="1:14" x14ac:dyDescent="0.25">
      <c r="H4" s="25"/>
    </row>
    <row r="5" spans="1:14" x14ac:dyDescent="0.25">
      <c r="H5" s="25"/>
    </row>
    <row r="6" spans="1:14" x14ac:dyDescent="0.25">
      <c r="H6" s="25"/>
    </row>
    <row r="7" spans="1:14" x14ac:dyDescent="0.25">
      <c r="H7" s="25"/>
    </row>
    <row r="8" spans="1:14" x14ac:dyDescent="0.25">
      <c r="H8" s="25"/>
    </row>
    <row r="9" spans="1:14" x14ac:dyDescent="0.25">
      <c r="H9" s="25"/>
    </row>
    <row r="10" spans="1:14" x14ac:dyDescent="0.25">
      <c r="H10" s="25"/>
    </row>
    <row r="11" spans="1:14" x14ac:dyDescent="0.25">
      <c r="H11" s="25"/>
    </row>
    <row r="12" spans="1:14" x14ac:dyDescent="0.25">
      <c r="H12" s="25"/>
    </row>
    <row r="13" spans="1:14" x14ac:dyDescent="0.25">
      <c r="H13" s="25"/>
    </row>
    <row r="14" spans="1:14" x14ac:dyDescent="0.25">
      <c r="H14" s="25"/>
    </row>
    <row r="15" spans="1:14" x14ac:dyDescent="0.25">
      <c r="H15" s="25"/>
    </row>
    <row r="16" spans="1:14" x14ac:dyDescent="0.25">
      <c r="H16" s="25"/>
    </row>
    <row r="17" spans="8:8" x14ac:dyDescent="0.25">
      <c r="H17" s="25"/>
    </row>
    <row r="18" spans="8:8" x14ac:dyDescent="0.25">
      <c r="H18" s="25"/>
    </row>
    <row r="19" spans="8:8" x14ac:dyDescent="0.25">
      <c r="H19" s="25"/>
    </row>
    <row r="20" spans="8:8" x14ac:dyDescent="0.25">
      <c r="H20" s="25"/>
    </row>
    <row r="21" spans="8:8" x14ac:dyDescent="0.25">
      <c r="H21" s="25"/>
    </row>
    <row r="22" spans="8:8" x14ac:dyDescent="0.25">
      <c r="H22" s="25"/>
    </row>
    <row r="23" spans="8:8" x14ac:dyDescent="0.25">
      <c r="H23" s="25"/>
    </row>
    <row r="24" spans="8:8" x14ac:dyDescent="0.25">
      <c r="H24" s="25"/>
    </row>
    <row r="25" spans="8:8" x14ac:dyDescent="0.25">
      <c r="H25" s="25"/>
    </row>
    <row r="26" spans="8:8" x14ac:dyDescent="0.25">
      <c r="H26" s="25"/>
    </row>
    <row r="27" spans="8:8" x14ac:dyDescent="0.25">
      <c r="H27" s="25"/>
    </row>
    <row r="28" spans="8:8" x14ac:dyDescent="0.25">
      <c r="H28" s="25"/>
    </row>
    <row r="29" spans="8:8" x14ac:dyDescent="0.25">
      <c r="H29" s="25"/>
    </row>
    <row r="30" spans="8:8" x14ac:dyDescent="0.25">
      <c r="H30" s="25"/>
    </row>
    <row r="31" spans="8:8" x14ac:dyDescent="0.25">
      <c r="H31" s="25"/>
    </row>
    <row r="32" spans="8:8" x14ac:dyDescent="0.25">
      <c r="H32" s="25"/>
    </row>
    <row r="33" spans="8:8" x14ac:dyDescent="0.25">
      <c r="H33" s="25"/>
    </row>
    <row r="34" spans="8:8" x14ac:dyDescent="0.25">
      <c r="H34" s="25"/>
    </row>
    <row r="35" spans="8:8" x14ac:dyDescent="0.25">
      <c r="H35" s="25"/>
    </row>
    <row r="36" spans="8:8" x14ac:dyDescent="0.25">
      <c r="H36" s="25"/>
    </row>
    <row r="37" spans="8:8" x14ac:dyDescent="0.25">
      <c r="H37" s="25"/>
    </row>
    <row r="38" spans="8:8" x14ac:dyDescent="0.25">
      <c r="H38" s="25"/>
    </row>
    <row r="39" spans="8:8" x14ac:dyDescent="0.25">
      <c r="H39" s="25"/>
    </row>
    <row r="40" spans="8:8" x14ac:dyDescent="0.25">
      <c r="H40" s="25"/>
    </row>
    <row r="41" spans="8:8" x14ac:dyDescent="0.25">
      <c r="H41" s="25"/>
    </row>
    <row r="42" spans="8:8" x14ac:dyDescent="0.25">
      <c r="H42" s="25"/>
    </row>
    <row r="43" spans="8:8" x14ac:dyDescent="0.25">
      <c r="H43" s="25"/>
    </row>
    <row r="44" spans="8:8" x14ac:dyDescent="0.25">
      <c r="H44" s="25"/>
    </row>
    <row r="45" spans="8:8" x14ac:dyDescent="0.25">
      <c r="H45" s="25"/>
    </row>
    <row r="46" spans="8:8" x14ac:dyDescent="0.25">
      <c r="H46" s="25"/>
    </row>
    <row r="47" spans="8:8" x14ac:dyDescent="0.25">
      <c r="H47" s="25"/>
    </row>
    <row r="48" spans="8:8" x14ac:dyDescent="0.25">
      <c r="H48" s="25"/>
    </row>
    <row r="49" spans="8:8" x14ac:dyDescent="0.25">
      <c r="H49" s="25"/>
    </row>
    <row r="50" spans="8:8" x14ac:dyDescent="0.25">
      <c r="H50" s="25"/>
    </row>
    <row r="51" spans="8:8" x14ac:dyDescent="0.25">
      <c r="H51" s="25"/>
    </row>
    <row r="52" spans="8:8" x14ac:dyDescent="0.25">
      <c r="H52" s="25"/>
    </row>
    <row r="53" spans="8:8" x14ac:dyDescent="0.25">
      <c r="H53" s="25"/>
    </row>
    <row r="54" spans="8:8" x14ac:dyDescent="0.25">
      <c r="H54" s="25"/>
    </row>
    <row r="55" spans="8:8" x14ac:dyDescent="0.25">
      <c r="H55" s="25"/>
    </row>
    <row r="56" spans="8:8" x14ac:dyDescent="0.25">
      <c r="H56" s="25"/>
    </row>
    <row r="57" spans="8:8" x14ac:dyDescent="0.25">
      <c r="H57" s="25"/>
    </row>
    <row r="58" spans="8:8" x14ac:dyDescent="0.25">
      <c r="H58" s="25"/>
    </row>
    <row r="59" spans="8:8" x14ac:dyDescent="0.25">
      <c r="H59" s="25"/>
    </row>
    <row r="60" spans="8:8" x14ac:dyDescent="0.25">
      <c r="H60" s="25"/>
    </row>
    <row r="61" spans="8:8" x14ac:dyDescent="0.25">
      <c r="H61" s="25"/>
    </row>
    <row r="62" spans="8:8" x14ac:dyDescent="0.25">
      <c r="H62" s="25"/>
    </row>
    <row r="63" spans="8:8" x14ac:dyDescent="0.25">
      <c r="H63" s="25"/>
    </row>
    <row r="64" spans="8:8" x14ac:dyDescent="0.25">
      <c r="H64" s="25"/>
    </row>
    <row r="65" spans="8:8" x14ac:dyDescent="0.25">
      <c r="H65" s="25"/>
    </row>
    <row r="66" spans="8:8" x14ac:dyDescent="0.25">
      <c r="H66" s="25"/>
    </row>
    <row r="67" spans="8:8" x14ac:dyDescent="0.25">
      <c r="H67" s="25"/>
    </row>
    <row r="68" spans="8:8" x14ac:dyDescent="0.25">
      <c r="H68" s="25"/>
    </row>
    <row r="69" spans="8:8" x14ac:dyDescent="0.25">
      <c r="H69" s="25"/>
    </row>
    <row r="70" spans="8:8" x14ac:dyDescent="0.25">
      <c r="H70" s="25"/>
    </row>
    <row r="71" spans="8:8" x14ac:dyDescent="0.25">
      <c r="H71" s="25"/>
    </row>
    <row r="72" spans="8:8" x14ac:dyDescent="0.25">
      <c r="H72" s="25"/>
    </row>
    <row r="73" spans="8:8" x14ac:dyDescent="0.25">
      <c r="H73" s="25"/>
    </row>
    <row r="74" spans="8:8" x14ac:dyDescent="0.25">
      <c r="H74" s="25"/>
    </row>
    <row r="75" spans="8:8" x14ac:dyDescent="0.25">
      <c r="H75" s="25"/>
    </row>
    <row r="76" spans="8:8" x14ac:dyDescent="0.25">
      <c r="H76" s="25"/>
    </row>
    <row r="77" spans="8:8" x14ac:dyDescent="0.25">
      <c r="H77" s="25"/>
    </row>
    <row r="78" spans="8:8" x14ac:dyDescent="0.25">
      <c r="H78" s="25"/>
    </row>
    <row r="79" spans="8:8" x14ac:dyDescent="0.25">
      <c r="H79" s="25"/>
    </row>
    <row r="80" spans="8:8" x14ac:dyDescent="0.25">
      <c r="H80" s="25"/>
    </row>
    <row r="81" spans="8:8" x14ac:dyDescent="0.25">
      <c r="H81" s="25"/>
    </row>
    <row r="82" spans="8:8" x14ac:dyDescent="0.25">
      <c r="H82" s="25"/>
    </row>
    <row r="83" spans="8:8" x14ac:dyDescent="0.25">
      <c r="H83" s="25"/>
    </row>
    <row r="84" spans="8:8" x14ac:dyDescent="0.25">
      <c r="H84" s="25"/>
    </row>
    <row r="85" spans="8:8" x14ac:dyDescent="0.25">
      <c r="H85" s="25"/>
    </row>
    <row r="86" spans="8:8" x14ac:dyDescent="0.25">
      <c r="H86" s="25"/>
    </row>
    <row r="87" spans="8:8" x14ac:dyDescent="0.25">
      <c r="H87" s="25"/>
    </row>
    <row r="88" spans="8:8" x14ac:dyDescent="0.25">
      <c r="H88" s="25"/>
    </row>
    <row r="89" spans="8:8" x14ac:dyDescent="0.25">
      <c r="H89" s="25"/>
    </row>
    <row r="90" spans="8:8" x14ac:dyDescent="0.25">
      <c r="H90" s="25"/>
    </row>
    <row r="91" spans="8:8" x14ac:dyDescent="0.25">
      <c r="H91" s="25"/>
    </row>
    <row r="92" spans="8:8" x14ac:dyDescent="0.25">
      <c r="H92" s="25"/>
    </row>
    <row r="93" spans="8:8" x14ac:dyDescent="0.25">
      <c r="H93" s="25"/>
    </row>
    <row r="94" spans="8:8" x14ac:dyDescent="0.25">
      <c r="H94" s="25"/>
    </row>
    <row r="95" spans="8:8" x14ac:dyDescent="0.25">
      <c r="H95" s="25"/>
    </row>
    <row r="96" spans="8:8" x14ac:dyDescent="0.25">
      <c r="H96" s="25"/>
    </row>
    <row r="97" spans="8:8" x14ac:dyDescent="0.25">
      <c r="H97" s="25"/>
    </row>
    <row r="98" spans="8:8" x14ac:dyDescent="0.25">
      <c r="H98" s="25"/>
    </row>
    <row r="99" spans="8:8" x14ac:dyDescent="0.25">
      <c r="H99" s="25"/>
    </row>
    <row r="100" spans="8:8" x14ac:dyDescent="0.25">
      <c r="H100" s="25"/>
    </row>
    <row r="101" spans="8:8" x14ac:dyDescent="0.25">
      <c r="H101" s="25"/>
    </row>
    <row r="102" spans="8:8" x14ac:dyDescent="0.25">
      <c r="H102" s="25"/>
    </row>
    <row r="103" spans="8:8" x14ac:dyDescent="0.25">
      <c r="H103" s="25"/>
    </row>
    <row r="104" spans="8:8" x14ac:dyDescent="0.25">
      <c r="H104" s="25"/>
    </row>
    <row r="105" spans="8:8" x14ac:dyDescent="0.25">
      <c r="H105" s="25"/>
    </row>
    <row r="106" spans="8:8" x14ac:dyDescent="0.25">
      <c r="H106" s="25"/>
    </row>
    <row r="107" spans="8:8" x14ac:dyDescent="0.25">
      <c r="H107" s="25"/>
    </row>
    <row r="108" spans="8:8" x14ac:dyDescent="0.25">
      <c r="H108" s="25"/>
    </row>
    <row r="109" spans="8:8" x14ac:dyDescent="0.25">
      <c r="H109" s="25"/>
    </row>
    <row r="110" spans="8:8" x14ac:dyDescent="0.25">
      <c r="H110" s="25"/>
    </row>
    <row r="111" spans="8:8" x14ac:dyDescent="0.25">
      <c r="H111" s="25"/>
    </row>
    <row r="112" spans="8:8" x14ac:dyDescent="0.25">
      <c r="H112" s="25"/>
    </row>
    <row r="113" spans="8:8" x14ac:dyDescent="0.25">
      <c r="H113" s="25"/>
    </row>
    <row r="114" spans="8:8" x14ac:dyDescent="0.25">
      <c r="H114" s="25"/>
    </row>
    <row r="115" spans="8:8" x14ac:dyDescent="0.25">
      <c r="H115" s="25"/>
    </row>
    <row r="116" spans="8:8" x14ac:dyDescent="0.25">
      <c r="H116" s="25"/>
    </row>
    <row r="117" spans="8:8" x14ac:dyDescent="0.25">
      <c r="H117" s="25"/>
    </row>
    <row r="118" spans="8:8" x14ac:dyDescent="0.25">
      <c r="H118" s="25"/>
    </row>
    <row r="119" spans="8:8" x14ac:dyDescent="0.25">
      <c r="H119" s="25"/>
    </row>
    <row r="120" spans="8:8" x14ac:dyDescent="0.25">
      <c r="H120" s="25"/>
    </row>
    <row r="121" spans="8:8" x14ac:dyDescent="0.25">
      <c r="H121" s="25"/>
    </row>
    <row r="122" spans="8:8" x14ac:dyDescent="0.25">
      <c r="H122" s="25"/>
    </row>
    <row r="123" spans="8:8" x14ac:dyDescent="0.25">
      <c r="H123" s="25"/>
    </row>
    <row r="124" spans="8:8" x14ac:dyDescent="0.25">
      <c r="H124" s="25"/>
    </row>
    <row r="125" spans="8:8" x14ac:dyDescent="0.25">
      <c r="H125" s="25"/>
    </row>
    <row r="126" spans="8:8" x14ac:dyDescent="0.25">
      <c r="H126" s="25"/>
    </row>
    <row r="127" spans="8:8" x14ac:dyDescent="0.25">
      <c r="H127" s="25"/>
    </row>
    <row r="128" spans="8:8" x14ac:dyDescent="0.25">
      <c r="H128" s="25"/>
    </row>
    <row r="129" spans="8:8" x14ac:dyDescent="0.25">
      <c r="H129" s="25"/>
    </row>
    <row r="130" spans="8:8" x14ac:dyDescent="0.25">
      <c r="H130" s="25"/>
    </row>
    <row r="131" spans="8:8" x14ac:dyDescent="0.25">
      <c r="H131" s="25"/>
    </row>
    <row r="132" spans="8:8" x14ac:dyDescent="0.25">
      <c r="H132" s="25"/>
    </row>
    <row r="133" spans="8:8" x14ac:dyDescent="0.25">
      <c r="H133" s="25"/>
    </row>
    <row r="134" spans="8:8" x14ac:dyDescent="0.25">
      <c r="H134" s="25"/>
    </row>
    <row r="135" spans="8:8" x14ac:dyDescent="0.25">
      <c r="H135" s="25"/>
    </row>
    <row r="136" spans="8:8" x14ac:dyDescent="0.25">
      <c r="H136" s="25"/>
    </row>
    <row r="137" spans="8:8" x14ac:dyDescent="0.25">
      <c r="H137" s="25"/>
    </row>
    <row r="138" spans="8:8" x14ac:dyDescent="0.25">
      <c r="H138" s="25"/>
    </row>
    <row r="139" spans="8:8" x14ac:dyDescent="0.25">
      <c r="H139" s="25"/>
    </row>
    <row r="140" spans="8:8" x14ac:dyDescent="0.25">
      <c r="H140" s="25"/>
    </row>
    <row r="141" spans="8:8" x14ac:dyDescent="0.25">
      <c r="H141" s="25"/>
    </row>
    <row r="142" spans="8:8" x14ac:dyDescent="0.25">
      <c r="H142" s="25"/>
    </row>
    <row r="143" spans="8:8" x14ac:dyDescent="0.25">
      <c r="H143" s="25"/>
    </row>
    <row r="144" spans="8:8" x14ac:dyDescent="0.25">
      <c r="H144" s="25"/>
    </row>
    <row r="145" spans="8:8" x14ac:dyDescent="0.25">
      <c r="H145" s="25"/>
    </row>
    <row r="146" spans="8:8" x14ac:dyDescent="0.25">
      <c r="H146" s="25"/>
    </row>
    <row r="147" spans="8:8" x14ac:dyDescent="0.25">
      <c r="H147" s="25"/>
    </row>
    <row r="148" spans="8:8" x14ac:dyDescent="0.25">
      <c r="H148" s="25"/>
    </row>
    <row r="149" spans="8:8" x14ac:dyDescent="0.25">
      <c r="H149" s="25"/>
    </row>
    <row r="150" spans="8:8" x14ac:dyDescent="0.25">
      <c r="H150" s="25"/>
    </row>
    <row r="151" spans="8:8" x14ac:dyDescent="0.25">
      <c r="H151" s="25"/>
    </row>
    <row r="152" spans="8:8" x14ac:dyDescent="0.25">
      <c r="H152" s="25"/>
    </row>
    <row r="153" spans="8:8" x14ac:dyDescent="0.25">
      <c r="H153" s="25"/>
    </row>
    <row r="154" spans="8:8" x14ac:dyDescent="0.25">
      <c r="H154" s="25"/>
    </row>
    <row r="155" spans="8:8" x14ac:dyDescent="0.25">
      <c r="H155" s="25"/>
    </row>
    <row r="156" spans="8:8" x14ac:dyDescent="0.25">
      <c r="H156" s="25"/>
    </row>
    <row r="157" spans="8:8" x14ac:dyDescent="0.25">
      <c r="H157" s="25"/>
    </row>
    <row r="158" spans="8:8" x14ac:dyDescent="0.25">
      <c r="H158" s="25"/>
    </row>
    <row r="159" spans="8:8" x14ac:dyDescent="0.25">
      <c r="H159" s="25"/>
    </row>
    <row r="160" spans="8:8" x14ac:dyDescent="0.25">
      <c r="H160" s="25"/>
    </row>
    <row r="161" spans="8:8" x14ac:dyDescent="0.25">
      <c r="H161" s="25"/>
    </row>
    <row r="162" spans="8:8" x14ac:dyDescent="0.25">
      <c r="H162" s="25"/>
    </row>
    <row r="163" spans="8:8" x14ac:dyDescent="0.25">
      <c r="H163" s="25"/>
    </row>
    <row r="164" spans="8:8" x14ac:dyDescent="0.25">
      <c r="H164" s="25"/>
    </row>
    <row r="165" spans="8:8" x14ac:dyDescent="0.25">
      <c r="H165" s="25"/>
    </row>
    <row r="166" spans="8:8" x14ac:dyDescent="0.25">
      <c r="H166" s="25"/>
    </row>
    <row r="167" spans="8:8" x14ac:dyDescent="0.25">
      <c r="H167" s="25"/>
    </row>
    <row r="168" spans="8:8" x14ac:dyDescent="0.25">
      <c r="H168" s="25"/>
    </row>
    <row r="169" spans="8:8" x14ac:dyDescent="0.25">
      <c r="H169" s="25"/>
    </row>
    <row r="170" spans="8:8" x14ac:dyDescent="0.25">
      <c r="H170" s="25"/>
    </row>
    <row r="171" spans="8:8" x14ac:dyDescent="0.25">
      <c r="H171" s="25"/>
    </row>
    <row r="172" spans="8:8" x14ac:dyDescent="0.25">
      <c r="H172" s="25"/>
    </row>
    <row r="173" spans="8:8" x14ac:dyDescent="0.25">
      <c r="H173" s="25"/>
    </row>
    <row r="174" spans="8:8" x14ac:dyDescent="0.25">
      <c r="H174" s="25"/>
    </row>
    <row r="175" spans="8:8" x14ac:dyDescent="0.25">
      <c r="H175" s="25"/>
    </row>
    <row r="176" spans="8:8" x14ac:dyDescent="0.25">
      <c r="H176" s="25"/>
    </row>
    <row r="177" spans="8:8" x14ac:dyDescent="0.25">
      <c r="H177" s="25"/>
    </row>
    <row r="178" spans="8:8" x14ac:dyDescent="0.25">
      <c r="H178" s="25"/>
    </row>
    <row r="179" spans="8:8" x14ac:dyDescent="0.25">
      <c r="H179" s="25"/>
    </row>
    <row r="180" spans="8:8" x14ac:dyDescent="0.25">
      <c r="H180" s="25"/>
    </row>
    <row r="181" spans="8:8" x14ac:dyDescent="0.25">
      <c r="H181" s="25"/>
    </row>
    <row r="182" spans="8:8" x14ac:dyDescent="0.25">
      <c r="H182" s="25"/>
    </row>
    <row r="183" spans="8:8" x14ac:dyDescent="0.25">
      <c r="H183" s="25"/>
    </row>
    <row r="184" spans="8:8" x14ac:dyDescent="0.25">
      <c r="H184" s="25"/>
    </row>
    <row r="185" spans="8:8" x14ac:dyDescent="0.25">
      <c r="H185" s="25"/>
    </row>
    <row r="186" spans="8:8" x14ac:dyDescent="0.25">
      <c r="H186" s="25"/>
    </row>
    <row r="187" spans="8:8" x14ac:dyDescent="0.25">
      <c r="H187" s="25"/>
    </row>
    <row r="188" spans="8:8" x14ac:dyDescent="0.25">
      <c r="H188" s="25"/>
    </row>
    <row r="189" spans="8:8" x14ac:dyDescent="0.25">
      <c r="H189" s="25"/>
    </row>
    <row r="190" spans="8:8" x14ac:dyDescent="0.25">
      <c r="H190" s="25"/>
    </row>
    <row r="191" spans="8:8" x14ac:dyDescent="0.25">
      <c r="H191" s="25"/>
    </row>
    <row r="192" spans="8:8" x14ac:dyDescent="0.25">
      <c r="H192" s="25"/>
    </row>
    <row r="193" spans="8:8" x14ac:dyDescent="0.25">
      <c r="H193" s="25"/>
    </row>
    <row r="194" spans="8:8" x14ac:dyDescent="0.25">
      <c r="H194" s="25"/>
    </row>
    <row r="195" spans="8:8" x14ac:dyDescent="0.25">
      <c r="H195" s="25"/>
    </row>
    <row r="196" spans="8:8" x14ac:dyDescent="0.25">
      <c r="H196" s="25"/>
    </row>
    <row r="197" spans="8:8" x14ac:dyDescent="0.25">
      <c r="H197" s="25"/>
    </row>
    <row r="198" spans="8:8" x14ac:dyDescent="0.25">
      <c r="H198" s="25"/>
    </row>
    <row r="199" spans="8:8" x14ac:dyDescent="0.25">
      <c r="H199" s="25"/>
    </row>
    <row r="200" spans="8:8" x14ac:dyDescent="0.25">
      <c r="H200" s="25"/>
    </row>
    <row r="201" spans="8:8" x14ac:dyDescent="0.25">
      <c r="H201" s="25"/>
    </row>
    <row r="202" spans="8:8" x14ac:dyDescent="0.25">
      <c r="H202" s="25"/>
    </row>
    <row r="203" spans="8:8" x14ac:dyDescent="0.25">
      <c r="H203" s="25"/>
    </row>
    <row r="204" spans="8:8" x14ac:dyDescent="0.25">
      <c r="H204" s="25"/>
    </row>
    <row r="205" spans="8:8" x14ac:dyDescent="0.25">
      <c r="H205" s="25"/>
    </row>
    <row r="206" spans="8:8" x14ac:dyDescent="0.25">
      <c r="H206" s="25"/>
    </row>
    <row r="207" spans="8:8" x14ac:dyDescent="0.25">
      <c r="H207" s="25"/>
    </row>
    <row r="208" spans="8:8" x14ac:dyDescent="0.25">
      <c r="H208" s="25"/>
    </row>
    <row r="209" spans="8:8" x14ac:dyDescent="0.25">
      <c r="H209" s="25"/>
    </row>
    <row r="210" spans="8:8" x14ac:dyDescent="0.25">
      <c r="H210" s="25"/>
    </row>
    <row r="211" spans="8:8" x14ac:dyDescent="0.25">
      <c r="H211" s="25"/>
    </row>
    <row r="212" spans="8:8" x14ac:dyDescent="0.25">
      <c r="H212" s="25"/>
    </row>
    <row r="213" spans="8:8" x14ac:dyDescent="0.25">
      <c r="H213" s="25"/>
    </row>
    <row r="214" spans="8:8" x14ac:dyDescent="0.25">
      <c r="H214" s="25"/>
    </row>
    <row r="215" spans="8:8" x14ac:dyDescent="0.25">
      <c r="H215" s="25"/>
    </row>
    <row r="216" spans="8:8" x14ac:dyDescent="0.25">
      <c r="H216" s="25"/>
    </row>
    <row r="217" spans="8:8" x14ac:dyDescent="0.25">
      <c r="H217" s="25"/>
    </row>
    <row r="218" spans="8:8" x14ac:dyDescent="0.25">
      <c r="H218" s="25"/>
    </row>
    <row r="219" spans="8:8" x14ac:dyDescent="0.25">
      <c r="H219" s="25"/>
    </row>
    <row r="220" spans="8:8" x14ac:dyDescent="0.25">
      <c r="H220" s="25"/>
    </row>
    <row r="221" spans="8:8" x14ac:dyDescent="0.25">
      <c r="H221" s="25"/>
    </row>
    <row r="222" spans="8:8" x14ac:dyDescent="0.25">
      <c r="H222" s="25"/>
    </row>
    <row r="223" spans="8:8" x14ac:dyDescent="0.25">
      <c r="H223" s="25"/>
    </row>
    <row r="224" spans="8:8" x14ac:dyDescent="0.25">
      <c r="H224" s="25"/>
    </row>
    <row r="225" spans="8:8" x14ac:dyDescent="0.25">
      <c r="H225" s="25"/>
    </row>
    <row r="226" spans="8:8" x14ac:dyDescent="0.25">
      <c r="H226" s="25"/>
    </row>
    <row r="227" spans="8:8" x14ac:dyDescent="0.25">
      <c r="H227" s="25"/>
    </row>
    <row r="228" spans="8:8" x14ac:dyDescent="0.25">
      <c r="H228" s="25"/>
    </row>
    <row r="229" spans="8:8" x14ac:dyDescent="0.25">
      <c r="H229" s="25"/>
    </row>
    <row r="230" spans="8:8" x14ac:dyDescent="0.25">
      <c r="H230" s="25"/>
    </row>
    <row r="231" spans="8:8" x14ac:dyDescent="0.25">
      <c r="H231" s="25"/>
    </row>
    <row r="232" spans="8:8" x14ac:dyDescent="0.25">
      <c r="H232" s="25"/>
    </row>
    <row r="233" spans="8:8" x14ac:dyDescent="0.25">
      <c r="H233" s="25"/>
    </row>
    <row r="234" spans="8:8" x14ac:dyDescent="0.25">
      <c r="H234" s="25"/>
    </row>
    <row r="235" spans="8:8" x14ac:dyDescent="0.25">
      <c r="H235" s="25"/>
    </row>
    <row r="236" spans="8:8" x14ac:dyDescent="0.25">
      <c r="H236" s="25"/>
    </row>
    <row r="237" spans="8:8" x14ac:dyDescent="0.25">
      <c r="H237" s="25"/>
    </row>
    <row r="238" spans="8:8" x14ac:dyDescent="0.25">
      <c r="H238" s="25"/>
    </row>
    <row r="239" spans="8:8" x14ac:dyDescent="0.25">
      <c r="H239" s="25"/>
    </row>
    <row r="240" spans="8:8" x14ac:dyDescent="0.25">
      <c r="H240" s="25"/>
    </row>
    <row r="241" spans="8:8" x14ac:dyDescent="0.25">
      <c r="H241" s="25"/>
    </row>
    <row r="242" spans="8:8" x14ac:dyDescent="0.25">
      <c r="H242" s="25"/>
    </row>
    <row r="243" spans="8:8" x14ac:dyDescent="0.25">
      <c r="H243" s="25"/>
    </row>
    <row r="244" spans="8:8" x14ac:dyDescent="0.25">
      <c r="H244" s="25"/>
    </row>
    <row r="245" spans="8:8" x14ac:dyDescent="0.25">
      <c r="H245" s="25"/>
    </row>
    <row r="246" spans="8:8" x14ac:dyDescent="0.25">
      <c r="H246" s="25"/>
    </row>
    <row r="247" spans="8:8" x14ac:dyDescent="0.25">
      <c r="H247" s="25"/>
    </row>
    <row r="248" spans="8:8" x14ac:dyDescent="0.25">
      <c r="H248" s="25"/>
    </row>
    <row r="249" spans="8:8" x14ac:dyDescent="0.25">
      <c r="H249" s="25"/>
    </row>
    <row r="250" spans="8:8" x14ac:dyDescent="0.25">
      <c r="H250" s="25"/>
    </row>
    <row r="251" spans="8:8" x14ac:dyDescent="0.25">
      <c r="H251" s="25"/>
    </row>
    <row r="252" spans="8:8" x14ac:dyDescent="0.25">
      <c r="H252" s="25"/>
    </row>
    <row r="253" spans="8:8" x14ac:dyDescent="0.25">
      <c r="H253" s="25"/>
    </row>
    <row r="254" spans="8:8" x14ac:dyDescent="0.25">
      <c r="H254" s="25"/>
    </row>
    <row r="255" spans="8:8" x14ac:dyDescent="0.25">
      <c r="H255" s="25"/>
    </row>
    <row r="256" spans="8:8" x14ac:dyDescent="0.25">
      <c r="H256" s="25"/>
    </row>
    <row r="257" spans="8:8" x14ac:dyDescent="0.25">
      <c r="H257" s="25"/>
    </row>
    <row r="258" spans="8:8" x14ac:dyDescent="0.25">
      <c r="H258" s="25"/>
    </row>
    <row r="259" spans="8:8" x14ac:dyDescent="0.25">
      <c r="H259" s="25"/>
    </row>
    <row r="260" spans="8:8" x14ac:dyDescent="0.25">
      <c r="H260" s="25"/>
    </row>
    <row r="261" spans="8:8" x14ac:dyDescent="0.25">
      <c r="H261" s="25"/>
    </row>
    <row r="262" spans="8:8" x14ac:dyDescent="0.25">
      <c r="H262" s="25"/>
    </row>
    <row r="263" spans="8:8" x14ac:dyDescent="0.25">
      <c r="H263" s="25"/>
    </row>
    <row r="264" spans="8:8" x14ac:dyDescent="0.25">
      <c r="H264" s="25"/>
    </row>
    <row r="265" spans="8:8" x14ac:dyDescent="0.25">
      <c r="H265" s="25"/>
    </row>
    <row r="266" spans="8:8" x14ac:dyDescent="0.25">
      <c r="H266" s="25"/>
    </row>
    <row r="267" spans="8:8" x14ac:dyDescent="0.25">
      <c r="H267" s="25"/>
    </row>
    <row r="268" spans="8:8" x14ac:dyDescent="0.25">
      <c r="H268" s="25"/>
    </row>
    <row r="269" spans="8:8" x14ac:dyDescent="0.25">
      <c r="H269" s="25"/>
    </row>
    <row r="270" spans="8:8" x14ac:dyDescent="0.25">
      <c r="H270" s="25"/>
    </row>
    <row r="271" spans="8:8" x14ac:dyDescent="0.25">
      <c r="H271" s="25"/>
    </row>
    <row r="272" spans="8:8" x14ac:dyDescent="0.25">
      <c r="H272" s="25"/>
    </row>
    <row r="273" spans="8:8" x14ac:dyDescent="0.25">
      <c r="H273" s="25"/>
    </row>
    <row r="274" spans="8:8" x14ac:dyDescent="0.25">
      <c r="H274" s="25"/>
    </row>
    <row r="275" spans="8:8" x14ac:dyDescent="0.25">
      <c r="H275" s="25"/>
    </row>
    <row r="276" spans="8:8" x14ac:dyDescent="0.25">
      <c r="H276" s="25"/>
    </row>
    <row r="277" spans="8:8" x14ac:dyDescent="0.25">
      <c r="H277" s="25"/>
    </row>
    <row r="278" spans="8:8" x14ac:dyDescent="0.25">
      <c r="H278" s="25"/>
    </row>
    <row r="279" spans="8:8" x14ac:dyDescent="0.25">
      <c r="H279" s="25"/>
    </row>
    <row r="280" spans="8:8" x14ac:dyDescent="0.25">
      <c r="H280" s="25"/>
    </row>
    <row r="281" spans="8:8" x14ac:dyDescent="0.25">
      <c r="H281" s="25"/>
    </row>
    <row r="282" spans="8:8" x14ac:dyDescent="0.25">
      <c r="H282" s="25"/>
    </row>
    <row r="283" spans="8:8" x14ac:dyDescent="0.25">
      <c r="H283" s="25"/>
    </row>
    <row r="284" spans="8:8" x14ac:dyDescent="0.25">
      <c r="H284" s="25"/>
    </row>
    <row r="285" spans="8:8" x14ac:dyDescent="0.25">
      <c r="H285" s="25"/>
    </row>
    <row r="286" spans="8:8" x14ac:dyDescent="0.25">
      <c r="H286" s="25"/>
    </row>
    <row r="287" spans="8:8" x14ac:dyDescent="0.25">
      <c r="H287" s="25"/>
    </row>
    <row r="288" spans="8:8" x14ac:dyDescent="0.25">
      <c r="H288" s="25"/>
    </row>
    <row r="289" spans="8:8" x14ac:dyDescent="0.25">
      <c r="H289" s="25"/>
    </row>
    <row r="290" spans="8:8" x14ac:dyDescent="0.25">
      <c r="H290" s="25"/>
    </row>
    <row r="291" spans="8:8" x14ac:dyDescent="0.25">
      <c r="H291" s="25"/>
    </row>
    <row r="292" spans="8:8" x14ac:dyDescent="0.25">
      <c r="H292" s="25"/>
    </row>
    <row r="293" spans="8:8" x14ac:dyDescent="0.25">
      <c r="H293" s="25"/>
    </row>
    <row r="294" spans="8:8" x14ac:dyDescent="0.25">
      <c r="H294" s="25"/>
    </row>
    <row r="295" spans="8:8" x14ac:dyDescent="0.25">
      <c r="H295" s="25"/>
    </row>
    <row r="296" spans="8:8" x14ac:dyDescent="0.25">
      <c r="H296" s="25"/>
    </row>
    <row r="297" spans="8:8" x14ac:dyDescent="0.25">
      <c r="H297" s="25"/>
    </row>
    <row r="298" spans="8:8" x14ac:dyDescent="0.25">
      <c r="H298" s="25"/>
    </row>
    <row r="299" spans="8:8" x14ac:dyDescent="0.25">
      <c r="H299" s="25"/>
    </row>
    <row r="300" spans="8:8" x14ac:dyDescent="0.25">
      <c r="H300" s="25"/>
    </row>
    <row r="301" spans="8:8" x14ac:dyDescent="0.25">
      <c r="H301" s="25"/>
    </row>
    <row r="302" spans="8:8" x14ac:dyDescent="0.25">
      <c r="H302" s="25"/>
    </row>
    <row r="303" spans="8:8" x14ac:dyDescent="0.25">
      <c r="H303" s="25"/>
    </row>
    <row r="304" spans="8:8" x14ac:dyDescent="0.25">
      <c r="H304" s="25"/>
    </row>
    <row r="305" spans="8:8" x14ac:dyDescent="0.25">
      <c r="H305" s="25"/>
    </row>
    <row r="306" spans="8:8" x14ac:dyDescent="0.25">
      <c r="H306" s="25"/>
    </row>
    <row r="307" spans="8:8" x14ac:dyDescent="0.25">
      <c r="H307" s="25"/>
    </row>
    <row r="308" spans="8:8" x14ac:dyDescent="0.25">
      <c r="H308" s="25"/>
    </row>
    <row r="309" spans="8:8" x14ac:dyDescent="0.25">
      <c r="H309" s="25"/>
    </row>
    <row r="310" spans="8:8" x14ac:dyDescent="0.25">
      <c r="H310" s="25"/>
    </row>
    <row r="311" spans="8:8" x14ac:dyDescent="0.25">
      <c r="H311" s="25"/>
    </row>
    <row r="312" spans="8:8" x14ac:dyDescent="0.25">
      <c r="H312" s="25"/>
    </row>
    <row r="313" spans="8:8" x14ac:dyDescent="0.25">
      <c r="H313" s="25"/>
    </row>
    <row r="314" spans="8:8" x14ac:dyDescent="0.25">
      <c r="H314" s="25"/>
    </row>
    <row r="315" spans="8:8" x14ac:dyDescent="0.25">
      <c r="H315" s="25"/>
    </row>
    <row r="316" spans="8:8" x14ac:dyDescent="0.25">
      <c r="H316" s="25"/>
    </row>
    <row r="317" spans="8:8" x14ac:dyDescent="0.25">
      <c r="H317" s="25"/>
    </row>
    <row r="318" spans="8:8" x14ac:dyDescent="0.25">
      <c r="H318" s="25"/>
    </row>
    <row r="319" spans="8:8" x14ac:dyDescent="0.25">
      <c r="H319" s="25"/>
    </row>
    <row r="320" spans="8:8" x14ac:dyDescent="0.25">
      <c r="H320" s="25"/>
    </row>
    <row r="321" spans="8:8" x14ac:dyDescent="0.25">
      <c r="H321" s="25"/>
    </row>
    <row r="322" spans="8:8" x14ac:dyDescent="0.25">
      <c r="H322" s="25"/>
    </row>
    <row r="323" spans="8:8" x14ac:dyDescent="0.25">
      <c r="H323" s="25"/>
    </row>
    <row r="324" spans="8:8" x14ac:dyDescent="0.25">
      <c r="H324" s="25"/>
    </row>
    <row r="325" spans="8:8" x14ac:dyDescent="0.25">
      <c r="H325" s="25"/>
    </row>
    <row r="326" spans="8:8" x14ac:dyDescent="0.25">
      <c r="H326" s="25"/>
    </row>
    <row r="327" spans="8:8" x14ac:dyDescent="0.25">
      <c r="H327" s="25"/>
    </row>
    <row r="328" spans="8:8" x14ac:dyDescent="0.25">
      <c r="H328" s="25"/>
    </row>
    <row r="329" spans="8:8" x14ac:dyDescent="0.25">
      <c r="H329" s="25"/>
    </row>
    <row r="330" spans="8:8" x14ac:dyDescent="0.25">
      <c r="H330" s="25"/>
    </row>
    <row r="331" spans="8:8" x14ac:dyDescent="0.25">
      <c r="H331" s="25"/>
    </row>
    <row r="332" spans="8:8" x14ac:dyDescent="0.25">
      <c r="H332" s="25"/>
    </row>
    <row r="333" spans="8:8" x14ac:dyDescent="0.25">
      <c r="H333" s="25"/>
    </row>
    <row r="334" spans="8:8" x14ac:dyDescent="0.25">
      <c r="H334" s="25"/>
    </row>
    <row r="335" spans="8:8" x14ac:dyDescent="0.25">
      <c r="H335" s="25"/>
    </row>
    <row r="336" spans="8:8" x14ac:dyDescent="0.25">
      <c r="H336" s="25"/>
    </row>
    <row r="337" spans="8:8" x14ac:dyDescent="0.25">
      <c r="H337" s="25"/>
    </row>
    <row r="338" spans="8:8" x14ac:dyDescent="0.25">
      <c r="H338" s="25"/>
    </row>
    <row r="339" spans="8:8" x14ac:dyDescent="0.25">
      <c r="H339" s="25"/>
    </row>
    <row r="340" spans="8:8" x14ac:dyDescent="0.25">
      <c r="H340" s="25"/>
    </row>
    <row r="341" spans="8:8" x14ac:dyDescent="0.25">
      <c r="H341" s="25"/>
    </row>
    <row r="342" spans="8:8" x14ac:dyDescent="0.25">
      <c r="H342" s="25"/>
    </row>
    <row r="343" spans="8:8" x14ac:dyDescent="0.25">
      <c r="H343" s="25"/>
    </row>
    <row r="344" spans="8:8" x14ac:dyDescent="0.25">
      <c r="H344" s="25"/>
    </row>
    <row r="345" spans="8:8" x14ac:dyDescent="0.25">
      <c r="H345" s="25"/>
    </row>
    <row r="346" spans="8:8" x14ac:dyDescent="0.25">
      <c r="H346" s="25"/>
    </row>
    <row r="347" spans="8:8" x14ac:dyDescent="0.25">
      <c r="H347" s="25"/>
    </row>
    <row r="348" spans="8:8" x14ac:dyDescent="0.25">
      <c r="H348" s="25"/>
    </row>
    <row r="349" spans="8:8" x14ac:dyDescent="0.25">
      <c r="H349" s="25"/>
    </row>
    <row r="350" spans="8:8" x14ac:dyDescent="0.25">
      <c r="H350" s="25"/>
    </row>
    <row r="351" spans="8:8" x14ac:dyDescent="0.25">
      <c r="H351" s="25"/>
    </row>
    <row r="352" spans="8:8" x14ac:dyDescent="0.25">
      <c r="H352" s="25"/>
    </row>
    <row r="353" spans="8:8" x14ac:dyDescent="0.25">
      <c r="H353" s="25"/>
    </row>
    <row r="354" spans="8:8" x14ac:dyDescent="0.25">
      <c r="H354" s="25"/>
    </row>
    <row r="355" spans="8:8" x14ac:dyDescent="0.25">
      <c r="H355" s="25"/>
    </row>
    <row r="356" spans="8:8" x14ac:dyDescent="0.25">
      <c r="H356" s="25"/>
    </row>
    <row r="357" spans="8:8" x14ac:dyDescent="0.25">
      <c r="H357" s="25"/>
    </row>
    <row r="358" spans="8:8" x14ac:dyDescent="0.25">
      <c r="H358" s="25"/>
    </row>
    <row r="359" spans="8:8" x14ac:dyDescent="0.25">
      <c r="H359" s="25"/>
    </row>
    <row r="360" spans="8:8" x14ac:dyDescent="0.25">
      <c r="H360" s="25"/>
    </row>
    <row r="361" spans="8:8" x14ac:dyDescent="0.25">
      <c r="H361" s="25"/>
    </row>
    <row r="362" spans="8:8" x14ac:dyDescent="0.25">
      <c r="H362" s="25"/>
    </row>
    <row r="363" spans="8:8" x14ac:dyDescent="0.25">
      <c r="H363" s="25"/>
    </row>
    <row r="364" spans="8:8" x14ac:dyDescent="0.25">
      <c r="H364" s="25"/>
    </row>
    <row r="365" spans="8:8" x14ac:dyDescent="0.25">
      <c r="H365" s="25"/>
    </row>
    <row r="366" spans="8:8" x14ac:dyDescent="0.25">
      <c r="H366" s="25"/>
    </row>
    <row r="367" spans="8:8" x14ac:dyDescent="0.25">
      <c r="H367" s="25"/>
    </row>
    <row r="368" spans="8:8" x14ac:dyDescent="0.25">
      <c r="H368" s="25"/>
    </row>
    <row r="369" spans="8:8" x14ac:dyDescent="0.25">
      <c r="H369" s="25"/>
    </row>
    <row r="370" spans="8:8" x14ac:dyDescent="0.25">
      <c r="H370" s="25"/>
    </row>
    <row r="371" spans="8:8" x14ac:dyDescent="0.25">
      <c r="H371" s="25"/>
    </row>
    <row r="372" spans="8:8" x14ac:dyDescent="0.25">
      <c r="H372" s="25"/>
    </row>
    <row r="373" spans="8:8" x14ac:dyDescent="0.25">
      <c r="H373" s="25"/>
    </row>
    <row r="374" spans="8:8" x14ac:dyDescent="0.25">
      <c r="H374" s="25"/>
    </row>
    <row r="375" spans="8:8" x14ac:dyDescent="0.25">
      <c r="H375" s="25"/>
    </row>
    <row r="376" spans="8:8" x14ac:dyDescent="0.25">
      <c r="H376" s="25"/>
    </row>
    <row r="377" spans="8:8" x14ac:dyDescent="0.25">
      <c r="H377" s="25"/>
    </row>
    <row r="378" spans="8:8" x14ac:dyDescent="0.25">
      <c r="H378" s="25"/>
    </row>
    <row r="379" spans="8:8" x14ac:dyDescent="0.25">
      <c r="H379" s="25"/>
    </row>
    <row r="380" spans="8:8" x14ac:dyDescent="0.25">
      <c r="H380" s="25"/>
    </row>
    <row r="381" spans="8:8" x14ac:dyDescent="0.25">
      <c r="H381" s="25"/>
    </row>
    <row r="382" spans="8:8" x14ac:dyDescent="0.25">
      <c r="H382" s="25"/>
    </row>
    <row r="383" spans="8:8" x14ac:dyDescent="0.25">
      <c r="H383" s="25"/>
    </row>
    <row r="384" spans="8:8" x14ac:dyDescent="0.25">
      <c r="H384" s="25"/>
    </row>
    <row r="385" spans="8:8" x14ac:dyDescent="0.25">
      <c r="H385" s="25"/>
    </row>
    <row r="386" spans="8:8" x14ac:dyDescent="0.25">
      <c r="H386" s="25"/>
    </row>
    <row r="387" spans="8:8" x14ac:dyDescent="0.25">
      <c r="H387" s="25"/>
    </row>
    <row r="388" spans="8:8" x14ac:dyDescent="0.25">
      <c r="H388" s="25"/>
    </row>
    <row r="389" spans="8:8" x14ac:dyDescent="0.25">
      <c r="H389" s="25"/>
    </row>
    <row r="390" spans="8:8" x14ac:dyDescent="0.25">
      <c r="H390" s="25"/>
    </row>
    <row r="391" spans="8:8" x14ac:dyDescent="0.25">
      <c r="H391" s="25"/>
    </row>
    <row r="392" spans="8:8" x14ac:dyDescent="0.25">
      <c r="H392" s="25"/>
    </row>
    <row r="393" spans="8:8" x14ac:dyDescent="0.25">
      <c r="H393" s="25"/>
    </row>
    <row r="394" spans="8:8" x14ac:dyDescent="0.25">
      <c r="H394" s="25"/>
    </row>
    <row r="395" spans="8:8" x14ac:dyDescent="0.25">
      <c r="H395" s="25"/>
    </row>
    <row r="396" spans="8:8" x14ac:dyDescent="0.25">
      <c r="H396" s="25"/>
    </row>
    <row r="397" spans="8:8" x14ac:dyDescent="0.25">
      <c r="H397" s="25"/>
    </row>
    <row r="398" spans="8:8" x14ac:dyDescent="0.25">
      <c r="H398" s="25"/>
    </row>
    <row r="399" spans="8:8" x14ac:dyDescent="0.25">
      <c r="H399" s="25"/>
    </row>
    <row r="400" spans="8:8" x14ac:dyDescent="0.25">
      <c r="H400" s="25"/>
    </row>
    <row r="401" spans="8:8" x14ac:dyDescent="0.25">
      <c r="H401" s="25"/>
    </row>
    <row r="402" spans="8:8" x14ac:dyDescent="0.25">
      <c r="H402" s="25"/>
    </row>
    <row r="403" spans="8:8" x14ac:dyDescent="0.25">
      <c r="H403" s="25"/>
    </row>
    <row r="404" spans="8:8" x14ac:dyDescent="0.25">
      <c r="H404" s="25"/>
    </row>
    <row r="405" spans="8:8" x14ac:dyDescent="0.25">
      <c r="H405" s="25"/>
    </row>
    <row r="406" spans="8:8" x14ac:dyDescent="0.25">
      <c r="H406" s="25"/>
    </row>
    <row r="407" spans="8:8" x14ac:dyDescent="0.25">
      <c r="H407" s="25"/>
    </row>
    <row r="408" spans="8:8" x14ac:dyDescent="0.25">
      <c r="H408" s="25"/>
    </row>
    <row r="409" spans="8:8" x14ac:dyDescent="0.25">
      <c r="H409" s="25"/>
    </row>
    <row r="410" spans="8:8" x14ac:dyDescent="0.25">
      <c r="H410" s="25"/>
    </row>
    <row r="411" spans="8:8" x14ac:dyDescent="0.25">
      <c r="H411" s="25"/>
    </row>
    <row r="412" spans="8:8" x14ac:dyDescent="0.25">
      <c r="H412" s="25"/>
    </row>
    <row r="413" spans="8:8" x14ac:dyDescent="0.25">
      <c r="H413" s="25"/>
    </row>
    <row r="414" spans="8:8" x14ac:dyDescent="0.25">
      <c r="H414" s="25"/>
    </row>
    <row r="415" spans="8:8" x14ac:dyDescent="0.25">
      <c r="H415" s="25"/>
    </row>
    <row r="416" spans="8:8" x14ac:dyDescent="0.25">
      <c r="H416" s="25"/>
    </row>
    <row r="417" spans="8:8" x14ac:dyDescent="0.25">
      <c r="H417" s="25"/>
    </row>
    <row r="418" spans="8:8" x14ac:dyDescent="0.25">
      <c r="H418" s="25"/>
    </row>
    <row r="419" spans="8:8" x14ac:dyDescent="0.25">
      <c r="H419" s="25"/>
    </row>
    <row r="420" spans="8:8" x14ac:dyDescent="0.25">
      <c r="H420" s="25"/>
    </row>
    <row r="421" spans="8:8" x14ac:dyDescent="0.25">
      <c r="H421" s="25"/>
    </row>
    <row r="422" spans="8:8" x14ac:dyDescent="0.25">
      <c r="H422" s="25"/>
    </row>
    <row r="423" spans="8:8" x14ac:dyDescent="0.25">
      <c r="H423" s="25"/>
    </row>
    <row r="424" spans="8:8" x14ac:dyDescent="0.25">
      <c r="H424" s="25"/>
    </row>
    <row r="425" spans="8:8" x14ac:dyDescent="0.25">
      <c r="H425" s="25"/>
    </row>
    <row r="426" spans="8:8" x14ac:dyDescent="0.25">
      <c r="H426" s="25"/>
    </row>
    <row r="427" spans="8:8" x14ac:dyDescent="0.25">
      <c r="H427" s="25"/>
    </row>
    <row r="428" spans="8:8" x14ac:dyDescent="0.25">
      <c r="H428" s="25"/>
    </row>
    <row r="429" spans="8:8" x14ac:dyDescent="0.25">
      <c r="H429" s="25"/>
    </row>
    <row r="430" spans="8:8" x14ac:dyDescent="0.25">
      <c r="H430" s="25"/>
    </row>
    <row r="431" spans="8:8" x14ac:dyDescent="0.25">
      <c r="H431" s="25"/>
    </row>
    <row r="432" spans="8:8" x14ac:dyDescent="0.25">
      <c r="H432" s="25"/>
    </row>
    <row r="433" spans="8:8" x14ac:dyDescent="0.25">
      <c r="H433" s="25"/>
    </row>
    <row r="434" spans="8:8" x14ac:dyDescent="0.25">
      <c r="H434" s="25"/>
    </row>
    <row r="435" spans="8:8" x14ac:dyDescent="0.25">
      <c r="H435" s="25"/>
    </row>
    <row r="436" spans="8:8" x14ac:dyDescent="0.25">
      <c r="H436" s="25"/>
    </row>
    <row r="437" spans="8:8" x14ac:dyDescent="0.25">
      <c r="H437" s="25"/>
    </row>
    <row r="438" spans="8:8" x14ac:dyDescent="0.25">
      <c r="H438" s="25"/>
    </row>
    <row r="439" spans="8:8" x14ac:dyDescent="0.25">
      <c r="H439" s="25"/>
    </row>
    <row r="440" spans="8:8" x14ac:dyDescent="0.25">
      <c r="H440" s="25"/>
    </row>
    <row r="441" spans="8:8" x14ac:dyDescent="0.25">
      <c r="H441" s="25"/>
    </row>
    <row r="442" spans="8:8" x14ac:dyDescent="0.25">
      <c r="H442" s="25"/>
    </row>
    <row r="443" spans="8:8" x14ac:dyDescent="0.25">
      <c r="H443" s="25"/>
    </row>
    <row r="444" spans="8:8" x14ac:dyDescent="0.25">
      <c r="H444" s="25"/>
    </row>
    <row r="445" spans="8:8" x14ac:dyDescent="0.25">
      <c r="H445" s="25"/>
    </row>
    <row r="446" spans="8:8" x14ac:dyDescent="0.25">
      <c r="H446" s="25"/>
    </row>
    <row r="447" spans="8:8" x14ac:dyDescent="0.25">
      <c r="H447" s="25"/>
    </row>
    <row r="448" spans="8:8" x14ac:dyDescent="0.25">
      <c r="H448" s="25"/>
    </row>
    <row r="449" spans="8:8" x14ac:dyDescent="0.25">
      <c r="H449" s="25"/>
    </row>
    <row r="450" spans="8:8" x14ac:dyDescent="0.25">
      <c r="H450" s="25"/>
    </row>
    <row r="451" spans="8:8" x14ac:dyDescent="0.25">
      <c r="H451" s="25"/>
    </row>
    <row r="452" spans="8:8" x14ac:dyDescent="0.25">
      <c r="H452" s="25"/>
    </row>
    <row r="453" spans="8:8" x14ac:dyDescent="0.25">
      <c r="H453" s="25"/>
    </row>
    <row r="454" spans="8:8" x14ac:dyDescent="0.25">
      <c r="H454" s="25"/>
    </row>
    <row r="455" spans="8:8" x14ac:dyDescent="0.25">
      <c r="H455" s="25"/>
    </row>
    <row r="456" spans="8:8" x14ac:dyDescent="0.25">
      <c r="H456" s="25"/>
    </row>
    <row r="457" spans="8:8" x14ac:dyDescent="0.25">
      <c r="H457" s="25"/>
    </row>
    <row r="458" spans="8:8" x14ac:dyDescent="0.25">
      <c r="H458" s="25"/>
    </row>
    <row r="459" spans="8:8" x14ac:dyDescent="0.25">
      <c r="H459" s="25"/>
    </row>
    <row r="460" spans="8:8" x14ac:dyDescent="0.25">
      <c r="H460" s="25"/>
    </row>
    <row r="461" spans="8:8" x14ac:dyDescent="0.25">
      <c r="H461" s="25"/>
    </row>
    <row r="462" spans="8:8" x14ac:dyDescent="0.25">
      <c r="H462" s="25"/>
    </row>
    <row r="463" spans="8:8" x14ac:dyDescent="0.25">
      <c r="H463" s="25"/>
    </row>
    <row r="464" spans="8:8" x14ac:dyDescent="0.25">
      <c r="H464" s="25"/>
    </row>
    <row r="465" spans="8:8" x14ac:dyDescent="0.25">
      <c r="H465" s="25"/>
    </row>
    <row r="466" spans="8:8" x14ac:dyDescent="0.25">
      <c r="H466" s="25"/>
    </row>
    <row r="467" spans="8:8" x14ac:dyDescent="0.25">
      <c r="H467" s="25"/>
    </row>
    <row r="468" spans="8:8" x14ac:dyDescent="0.25">
      <c r="H468" s="25"/>
    </row>
    <row r="469" spans="8:8" x14ac:dyDescent="0.25">
      <c r="H469" s="25"/>
    </row>
    <row r="470" spans="8:8" x14ac:dyDescent="0.25">
      <c r="H470" s="25"/>
    </row>
    <row r="471" spans="8:8" x14ac:dyDescent="0.25">
      <c r="H471" s="25"/>
    </row>
    <row r="472" spans="8:8" x14ac:dyDescent="0.25">
      <c r="H472" s="25"/>
    </row>
    <row r="473" spans="8:8" x14ac:dyDescent="0.25">
      <c r="H473" s="25"/>
    </row>
    <row r="474" spans="8:8" x14ac:dyDescent="0.25">
      <c r="H474" s="25"/>
    </row>
    <row r="475" spans="8:8" x14ac:dyDescent="0.25">
      <c r="H475" s="25"/>
    </row>
    <row r="476" spans="8:8" x14ac:dyDescent="0.25">
      <c r="H476" s="25"/>
    </row>
    <row r="477" spans="8:8" x14ac:dyDescent="0.25">
      <c r="H477" s="25"/>
    </row>
    <row r="478" spans="8:8" x14ac:dyDescent="0.25">
      <c r="H478" s="25"/>
    </row>
    <row r="479" spans="8:8" x14ac:dyDescent="0.25">
      <c r="H479" s="25"/>
    </row>
    <row r="480" spans="8:8" x14ac:dyDescent="0.25">
      <c r="H480" s="25"/>
    </row>
    <row r="481" spans="8:8" x14ac:dyDescent="0.25">
      <c r="H481" s="25"/>
    </row>
    <row r="482" spans="8:8" x14ac:dyDescent="0.25">
      <c r="H482" s="25"/>
    </row>
    <row r="483" spans="8:8" x14ac:dyDescent="0.25">
      <c r="H483" s="25"/>
    </row>
    <row r="484" spans="8:8" x14ac:dyDescent="0.25">
      <c r="H484" s="25"/>
    </row>
    <row r="485" spans="8:8" x14ac:dyDescent="0.25">
      <c r="H485" s="25"/>
    </row>
    <row r="486" spans="8:8" x14ac:dyDescent="0.25">
      <c r="H486" s="25"/>
    </row>
    <row r="487" spans="8:8" x14ac:dyDescent="0.25">
      <c r="H487" s="25"/>
    </row>
    <row r="488" spans="8:8" x14ac:dyDescent="0.25">
      <c r="H488" s="25"/>
    </row>
    <row r="489" spans="8:8" x14ac:dyDescent="0.25">
      <c r="H489" s="25"/>
    </row>
    <row r="490" spans="8:8" x14ac:dyDescent="0.25">
      <c r="H490" s="25"/>
    </row>
    <row r="491" spans="8:8" x14ac:dyDescent="0.25">
      <c r="H491" s="25"/>
    </row>
    <row r="492" spans="8:8" x14ac:dyDescent="0.25">
      <c r="H492" s="25"/>
    </row>
    <row r="493" spans="8:8" x14ac:dyDescent="0.25">
      <c r="H493" s="25"/>
    </row>
    <row r="494" spans="8:8" x14ac:dyDescent="0.25">
      <c r="H494" s="25"/>
    </row>
    <row r="495" spans="8:8" x14ac:dyDescent="0.25">
      <c r="H495" s="25"/>
    </row>
    <row r="496" spans="8:8" x14ac:dyDescent="0.25">
      <c r="H496" s="25"/>
    </row>
    <row r="497" spans="8:8" x14ac:dyDescent="0.25">
      <c r="H497" s="25"/>
    </row>
    <row r="498" spans="8:8" x14ac:dyDescent="0.25">
      <c r="H498" s="25"/>
    </row>
    <row r="499" spans="8:8" x14ac:dyDescent="0.25">
      <c r="H499" s="25"/>
    </row>
    <row r="500" spans="8:8" x14ac:dyDescent="0.25">
      <c r="H500" s="25"/>
    </row>
    <row r="501" spans="8:8" x14ac:dyDescent="0.25">
      <c r="H501" s="25"/>
    </row>
    <row r="502" spans="8:8" x14ac:dyDescent="0.25">
      <c r="H502" s="25"/>
    </row>
    <row r="503" spans="8:8" x14ac:dyDescent="0.25">
      <c r="H503" s="25"/>
    </row>
    <row r="504" spans="8:8" x14ac:dyDescent="0.25">
      <c r="H504" s="25"/>
    </row>
    <row r="505" spans="8:8" x14ac:dyDescent="0.25">
      <c r="H505" s="25"/>
    </row>
    <row r="506" spans="8:8" x14ac:dyDescent="0.25">
      <c r="H506" s="25"/>
    </row>
    <row r="507" spans="8:8" x14ac:dyDescent="0.25">
      <c r="H507" s="25"/>
    </row>
    <row r="508" spans="8:8" x14ac:dyDescent="0.25">
      <c r="H508" s="25"/>
    </row>
    <row r="509" spans="8:8" x14ac:dyDescent="0.25">
      <c r="H509" s="25"/>
    </row>
    <row r="510" spans="8:8" x14ac:dyDescent="0.25">
      <c r="H510" s="25"/>
    </row>
    <row r="511" spans="8:8" x14ac:dyDescent="0.25">
      <c r="H511" s="25"/>
    </row>
    <row r="512" spans="8:8" x14ac:dyDescent="0.25">
      <c r="H512" s="25"/>
    </row>
    <row r="513" spans="8:8" x14ac:dyDescent="0.25">
      <c r="H513" s="25"/>
    </row>
    <row r="514" spans="8:8" x14ac:dyDescent="0.25">
      <c r="H514" s="25"/>
    </row>
    <row r="515" spans="8:8" x14ac:dyDescent="0.25">
      <c r="H515" s="25"/>
    </row>
    <row r="516" spans="8:8" x14ac:dyDescent="0.25">
      <c r="H516" s="25"/>
    </row>
    <row r="517" spans="8:8" x14ac:dyDescent="0.25">
      <c r="H517" s="25"/>
    </row>
    <row r="518" spans="8:8" x14ac:dyDescent="0.25">
      <c r="H518" s="25"/>
    </row>
    <row r="519" spans="8:8" x14ac:dyDescent="0.25">
      <c r="H519" s="25"/>
    </row>
    <row r="520" spans="8:8" x14ac:dyDescent="0.25">
      <c r="H520" s="25"/>
    </row>
    <row r="521" spans="8:8" x14ac:dyDescent="0.25">
      <c r="H521" s="25"/>
    </row>
    <row r="522" spans="8:8" x14ac:dyDescent="0.25">
      <c r="H522" s="25"/>
    </row>
    <row r="523" spans="8:8" x14ac:dyDescent="0.25">
      <c r="H523" s="25"/>
    </row>
    <row r="524" spans="8:8" x14ac:dyDescent="0.25">
      <c r="H524" s="25"/>
    </row>
    <row r="525" spans="8:8" x14ac:dyDescent="0.25">
      <c r="H525" s="25"/>
    </row>
    <row r="526" spans="8:8" x14ac:dyDescent="0.25">
      <c r="H526" s="25"/>
    </row>
    <row r="527" spans="8:8" x14ac:dyDescent="0.25">
      <c r="H527" s="25"/>
    </row>
    <row r="528" spans="8:8" x14ac:dyDescent="0.25">
      <c r="H528" s="25"/>
    </row>
    <row r="529" spans="8:8" x14ac:dyDescent="0.25">
      <c r="H529" s="25"/>
    </row>
    <row r="530" spans="8:8" x14ac:dyDescent="0.25">
      <c r="H530" s="25"/>
    </row>
    <row r="531" spans="8:8" x14ac:dyDescent="0.25">
      <c r="H531" s="25"/>
    </row>
    <row r="532" spans="8:8" x14ac:dyDescent="0.25">
      <c r="H532" s="25"/>
    </row>
    <row r="533" spans="8:8" x14ac:dyDescent="0.25">
      <c r="H533" s="25"/>
    </row>
    <row r="534" spans="8:8" x14ac:dyDescent="0.25">
      <c r="H534" s="25"/>
    </row>
    <row r="535" spans="8:8" x14ac:dyDescent="0.25">
      <c r="H535" s="25"/>
    </row>
    <row r="536" spans="8:8" x14ac:dyDescent="0.25">
      <c r="H536" s="25"/>
    </row>
    <row r="537" spans="8:8" x14ac:dyDescent="0.25">
      <c r="H537" s="25"/>
    </row>
    <row r="538" spans="8:8" x14ac:dyDescent="0.25">
      <c r="H538" s="25"/>
    </row>
    <row r="539" spans="8:8" x14ac:dyDescent="0.25">
      <c r="H539" s="25"/>
    </row>
    <row r="540" spans="8:8" x14ac:dyDescent="0.25">
      <c r="H540" s="25"/>
    </row>
    <row r="541" spans="8:8" x14ac:dyDescent="0.25">
      <c r="H541" s="25"/>
    </row>
    <row r="542" spans="8:8" x14ac:dyDescent="0.25">
      <c r="H542" s="25"/>
    </row>
    <row r="543" spans="8:8" x14ac:dyDescent="0.25">
      <c r="H543" s="25"/>
    </row>
    <row r="544" spans="8:8" x14ac:dyDescent="0.25">
      <c r="H544" s="25"/>
    </row>
    <row r="545" spans="8:8" x14ac:dyDescent="0.25">
      <c r="H545" s="25"/>
    </row>
    <row r="546" spans="8:8" x14ac:dyDescent="0.25">
      <c r="H546" s="25"/>
    </row>
    <row r="547" spans="8:8" x14ac:dyDescent="0.25">
      <c r="H547" s="25"/>
    </row>
    <row r="548" spans="8:8" x14ac:dyDescent="0.25">
      <c r="H548" s="25"/>
    </row>
    <row r="549" spans="8:8" x14ac:dyDescent="0.25">
      <c r="H549" s="25"/>
    </row>
    <row r="550" spans="8:8" x14ac:dyDescent="0.25">
      <c r="H550" s="25"/>
    </row>
    <row r="551" spans="8:8" x14ac:dyDescent="0.25">
      <c r="H551" s="25"/>
    </row>
    <row r="552" spans="8:8" x14ac:dyDescent="0.25">
      <c r="H552" s="25"/>
    </row>
    <row r="553" spans="8:8" x14ac:dyDescent="0.25">
      <c r="H553" s="25"/>
    </row>
    <row r="554" spans="8:8" x14ac:dyDescent="0.25">
      <c r="H554" s="25"/>
    </row>
    <row r="555" spans="8:8" x14ac:dyDescent="0.25">
      <c r="H555" s="25"/>
    </row>
    <row r="556" spans="8:8" x14ac:dyDescent="0.25">
      <c r="H556" s="25"/>
    </row>
    <row r="557" spans="8:8" x14ac:dyDescent="0.25">
      <c r="H557" s="25"/>
    </row>
    <row r="558" spans="8:8" x14ac:dyDescent="0.25">
      <c r="H558" s="25"/>
    </row>
    <row r="559" spans="8:8" x14ac:dyDescent="0.25">
      <c r="H559" s="25"/>
    </row>
    <row r="560" spans="8:8" x14ac:dyDescent="0.25">
      <c r="H560" s="25"/>
    </row>
    <row r="561" spans="8:8" x14ac:dyDescent="0.25">
      <c r="H561" s="25"/>
    </row>
    <row r="562" spans="8:8" x14ac:dyDescent="0.25">
      <c r="H562" s="25"/>
    </row>
    <row r="563" spans="8:8" x14ac:dyDescent="0.25">
      <c r="H563" s="25"/>
    </row>
    <row r="564" spans="8:8" x14ac:dyDescent="0.25">
      <c r="H564" s="25"/>
    </row>
    <row r="565" spans="8:8" x14ac:dyDescent="0.25">
      <c r="H565" s="25"/>
    </row>
    <row r="566" spans="8:8" x14ac:dyDescent="0.25">
      <c r="H566" s="25"/>
    </row>
    <row r="567" spans="8:8" x14ac:dyDescent="0.25">
      <c r="H567" s="25"/>
    </row>
    <row r="568" spans="8:8" x14ac:dyDescent="0.25">
      <c r="H568" s="25"/>
    </row>
    <row r="569" spans="8:8" x14ac:dyDescent="0.25">
      <c r="H569" s="25"/>
    </row>
    <row r="570" spans="8:8" x14ac:dyDescent="0.25">
      <c r="H570" s="25"/>
    </row>
    <row r="571" spans="8:8" x14ac:dyDescent="0.25">
      <c r="H571" s="25"/>
    </row>
    <row r="572" spans="8:8" x14ac:dyDescent="0.25">
      <c r="H572" s="25"/>
    </row>
    <row r="573" spans="8:8" x14ac:dyDescent="0.25">
      <c r="H573" s="25"/>
    </row>
    <row r="574" spans="8:8" x14ac:dyDescent="0.25">
      <c r="H574" s="25"/>
    </row>
    <row r="575" spans="8:8" x14ac:dyDescent="0.25">
      <c r="H575" s="25"/>
    </row>
    <row r="576" spans="8:8" x14ac:dyDescent="0.25">
      <c r="H576" s="25"/>
    </row>
    <row r="577" spans="8:8" x14ac:dyDescent="0.25">
      <c r="H577" s="25"/>
    </row>
    <row r="578" spans="8:8" x14ac:dyDescent="0.25">
      <c r="H578" s="25"/>
    </row>
    <row r="579" spans="8:8" x14ac:dyDescent="0.25">
      <c r="H579" s="25"/>
    </row>
    <row r="580" spans="8:8" x14ac:dyDescent="0.25">
      <c r="H580" s="25"/>
    </row>
    <row r="581" spans="8:8" x14ac:dyDescent="0.25">
      <c r="H581" s="25"/>
    </row>
    <row r="582" spans="8:8" x14ac:dyDescent="0.25">
      <c r="H582" s="25"/>
    </row>
    <row r="583" spans="8:8" x14ac:dyDescent="0.25">
      <c r="H583" s="25"/>
    </row>
    <row r="584" spans="8:8" x14ac:dyDescent="0.25">
      <c r="H584" s="25"/>
    </row>
    <row r="585" spans="8:8" x14ac:dyDescent="0.25">
      <c r="H585" s="25"/>
    </row>
    <row r="586" spans="8:8" x14ac:dyDescent="0.25">
      <c r="H586" s="25"/>
    </row>
    <row r="587" spans="8:8" x14ac:dyDescent="0.25">
      <c r="H587" s="25"/>
    </row>
    <row r="588" spans="8:8" x14ac:dyDescent="0.25">
      <c r="H588" s="25"/>
    </row>
    <row r="589" spans="8:8" x14ac:dyDescent="0.25">
      <c r="H589" s="25"/>
    </row>
    <row r="590" spans="8:8" x14ac:dyDescent="0.25">
      <c r="H590" s="25"/>
    </row>
    <row r="591" spans="8:8" x14ac:dyDescent="0.25">
      <c r="H591" s="25"/>
    </row>
    <row r="592" spans="8:8" x14ac:dyDescent="0.25">
      <c r="H592" s="25"/>
    </row>
    <row r="593" spans="8:8" x14ac:dyDescent="0.25">
      <c r="H593" s="25"/>
    </row>
    <row r="594" spans="8:8" x14ac:dyDescent="0.25">
      <c r="H594" s="25"/>
    </row>
    <row r="595" spans="8:8" x14ac:dyDescent="0.25">
      <c r="H595" s="25"/>
    </row>
    <row r="596" spans="8:8" x14ac:dyDescent="0.25">
      <c r="H596" s="25"/>
    </row>
    <row r="597" spans="8:8" x14ac:dyDescent="0.25">
      <c r="H597" s="25"/>
    </row>
    <row r="598" spans="8:8" x14ac:dyDescent="0.25">
      <c r="H598" s="25"/>
    </row>
    <row r="599" spans="8:8" x14ac:dyDescent="0.25">
      <c r="H599" s="25"/>
    </row>
    <row r="600" spans="8:8" x14ac:dyDescent="0.25">
      <c r="H600" s="25"/>
    </row>
    <row r="601" spans="8:8" x14ac:dyDescent="0.25">
      <c r="H601" s="25"/>
    </row>
    <row r="602" spans="8:8" x14ac:dyDescent="0.25">
      <c r="H602" s="25"/>
    </row>
    <row r="603" spans="8:8" x14ac:dyDescent="0.25">
      <c r="H603" s="25"/>
    </row>
    <row r="604" spans="8:8" x14ac:dyDescent="0.25">
      <c r="H604" s="25"/>
    </row>
    <row r="605" spans="8:8" x14ac:dyDescent="0.25">
      <c r="H605" s="25"/>
    </row>
    <row r="606" spans="8:8" x14ac:dyDescent="0.25">
      <c r="H606" s="25"/>
    </row>
    <row r="607" spans="8:8" x14ac:dyDescent="0.25">
      <c r="H607" s="25"/>
    </row>
    <row r="608" spans="8:8" x14ac:dyDescent="0.25">
      <c r="H608" s="25"/>
    </row>
    <row r="609" spans="8:8" x14ac:dyDescent="0.25">
      <c r="H609" s="25"/>
    </row>
    <row r="610" spans="8:8" x14ac:dyDescent="0.25">
      <c r="H610" s="25"/>
    </row>
    <row r="611" spans="8:8" x14ac:dyDescent="0.25">
      <c r="H611" s="25"/>
    </row>
    <row r="612" spans="8:8" x14ac:dyDescent="0.25">
      <c r="H612" s="25"/>
    </row>
    <row r="613" spans="8:8" x14ac:dyDescent="0.25">
      <c r="H613" s="25"/>
    </row>
    <row r="614" spans="8:8" x14ac:dyDescent="0.25">
      <c r="H614" s="25"/>
    </row>
    <row r="615" spans="8:8" x14ac:dyDescent="0.25">
      <c r="H615" s="25"/>
    </row>
    <row r="616" spans="8:8" x14ac:dyDescent="0.25">
      <c r="H616" s="25"/>
    </row>
    <row r="617" spans="8:8" x14ac:dyDescent="0.25">
      <c r="H617" s="25"/>
    </row>
    <row r="618" spans="8:8" x14ac:dyDescent="0.25">
      <c r="H618" s="25"/>
    </row>
    <row r="619" spans="8:8" x14ac:dyDescent="0.25">
      <c r="H619" s="25"/>
    </row>
    <row r="620" spans="8:8" x14ac:dyDescent="0.25">
      <c r="H620" s="25"/>
    </row>
    <row r="621" spans="8:8" x14ac:dyDescent="0.25">
      <c r="H621" s="25"/>
    </row>
    <row r="622" spans="8:8" x14ac:dyDescent="0.25">
      <c r="H622" s="25"/>
    </row>
    <row r="623" spans="8:8" x14ac:dyDescent="0.25">
      <c r="H623" s="25"/>
    </row>
    <row r="624" spans="8:8" x14ac:dyDescent="0.25">
      <c r="H624" s="25"/>
    </row>
    <row r="625" spans="8:8" x14ac:dyDescent="0.25">
      <c r="H625" s="25"/>
    </row>
    <row r="626" spans="8:8" x14ac:dyDescent="0.25">
      <c r="H626" s="25"/>
    </row>
    <row r="627" spans="8:8" x14ac:dyDescent="0.25">
      <c r="H627" s="25"/>
    </row>
    <row r="628" spans="8:8" x14ac:dyDescent="0.25">
      <c r="H628" s="25"/>
    </row>
    <row r="629" spans="8:8" x14ac:dyDescent="0.25">
      <c r="H629" s="25"/>
    </row>
    <row r="630" spans="8:8" x14ac:dyDescent="0.25">
      <c r="H630" s="25"/>
    </row>
    <row r="631" spans="8:8" x14ac:dyDescent="0.25">
      <c r="H631" s="25"/>
    </row>
    <row r="632" spans="8:8" x14ac:dyDescent="0.25">
      <c r="H632" s="25"/>
    </row>
    <row r="633" spans="8:8" x14ac:dyDescent="0.25">
      <c r="H633" s="25"/>
    </row>
    <row r="634" spans="8:8" x14ac:dyDescent="0.25">
      <c r="H634" s="25"/>
    </row>
    <row r="635" spans="8:8" x14ac:dyDescent="0.25">
      <c r="H635" s="25"/>
    </row>
    <row r="636" spans="8:8" x14ac:dyDescent="0.25">
      <c r="H636" s="25"/>
    </row>
    <row r="637" spans="8:8" x14ac:dyDescent="0.25">
      <c r="H637" s="25"/>
    </row>
    <row r="638" spans="8:8" x14ac:dyDescent="0.25">
      <c r="H638" s="25"/>
    </row>
    <row r="639" spans="8:8" x14ac:dyDescent="0.25">
      <c r="H639" s="25"/>
    </row>
    <row r="640" spans="8:8" x14ac:dyDescent="0.25">
      <c r="H640" s="25"/>
    </row>
    <row r="641" spans="8:8" x14ac:dyDescent="0.25">
      <c r="H641" s="25"/>
    </row>
    <row r="642" spans="8:8" x14ac:dyDescent="0.25">
      <c r="H642" s="25"/>
    </row>
    <row r="643" spans="8:8" x14ac:dyDescent="0.25">
      <c r="H643" s="25"/>
    </row>
    <row r="644" spans="8:8" x14ac:dyDescent="0.25">
      <c r="H644" s="25"/>
    </row>
    <row r="645" spans="8:8" x14ac:dyDescent="0.25">
      <c r="H645" s="25"/>
    </row>
    <row r="646" spans="8:8" x14ac:dyDescent="0.25">
      <c r="H646" s="25"/>
    </row>
    <row r="647" spans="8:8" x14ac:dyDescent="0.25">
      <c r="H647" s="25"/>
    </row>
    <row r="648" spans="8:8" x14ac:dyDescent="0.25">
      <c r="H648" s="25"/>
    </row>
    <row r="649" spans="8:8" x14ac:dyDescent="0.25">
      <c r="H649" s="25"/>
    </row>
    <row r="650" spans="8:8" x14ac:dyDescent="0.25">
      <c r="H650" s="25"/>
    </row>
    <row r="651" spans="8:8" x14ac:dyDescent="0.25">
      <c r="H651" s="25"/>
    </row>
    <row r="652" spans="8:8" x14ac:dyDescent="0.25">
      <c r="H652" s="25"/>
    </row>
    <row r="653" spans="8:8" x14ac:dyDescent="0.25">
      <c r="H653" s="25"/>
    </row>
    <row r="654" spans="8:8" x14ac:dyDescent="0.25">
      <c r="H654" s="25"/>
    </row>
    <row r="655" spans="8:8" x14ac:dyDescent="0.25">
      <c r="H655" s="25"/>
    </row>
    <row r="656" spans="8:8" x14ac:dyDescent="0.25">
      <c r="H656" s="25"/>
    </row>
    <row r="657" spans="8:8" x14ac:dyDescent="0.25">
      <c r="H657" s="25"/>
    </row>
    <row r="658" spans="8:8" x14ac:dyDescent="0.25">
      <c r="H658" s="25"/>
    </row>
    <row r="659" spans="8:8" x14ac:dyDescent="0.25">
      <c r="H659" s="25"/>
    </row>
    <row r="660" spans="8:8" x14ac:dyDescent="0.25">
      <c r="H660" s="25"/>
    </row>
    <row r="661" spans="8:8" x14ac:dyDescent="0.25">
      <c r="H661" s="25"/>
    </row>
    <row r="662" spans="8:8" x14ac:dyDescent="0.25">
      <c r="H662" s="25"/>
    </row>
    <row r="663" spans="8:8" x14ac:dyDescent="0.25">
      <c r="H663" s="25"/>
    </row>
    <row r="664" spans="8:8" x14ac:dyDescent="0.25">
      <c r="H664" s="25"/>
    </row>
    <row r="665" spans="8:8" x14ac:dyDescent="0.25">
      <c r="H665" s="25"/>
    </row>
    <row r="666" spans="8:8" x14ac:dyDescent="0.25">
      <c r="H666" s="25"/>
    </row>
    <row r="667" spans="8:8" x14ac:dyDescent="0.25">
      <c r="H667" s="25"/>
    </row>
    <row r="668" spans="8:8" x14ac:dyDescent="0.25">
      <c r="H668" s="25"/>
    </row>
    <row r="669" spans="8:8" x14ac:dyDescent="0.25">
      <c r="H669" s="25"/>
    </row>
    <row r="670" spans="8:8" x14ac:dyDescent="0.25">
      <c r="H670" s="25"/>
    </row>
    <row r="671" spans="8:8" x14ac:dyDescent="0.25">
      <c r="H671" s="25"/>
    </row>
    <row r="672" spans="8:8" x14ac:dyDescent="0.25">
      <c r="H672" s="25"/>
    </row>
    <row r="673" spans="8:8" x14ac:dyDescent="0.25">
      <c r="H673" s="25"/>
    </row>
    <row r="674" spans="8:8" x14ac:dyDescent="0.25">
      <c r="H674" s="25"/>
    </row>
    <row r="675" spans="8:8" x14ac:dyDescent="0.25">
      <c r="H675" s="25"/>
    </row>
    <row r="676" spans="8:8" x14ac:dyDescent="0.25">
      <c r="H676" s="25"/>
    </row>
    <row r="677" spans="8:8" x14ac:dyDescent="0.25">
      <c r="H677" s="25"/>
    </row>
    <row r="678" spans="8:8" x14ac:dyDescent="0.25">
      <c r="H678" s="25"/>
    </row>
    <row r="679" spans="8:8" x14ac:dyDescent="0.25">
      <c r="H679" s="25"/>
    </row>
    <row r="680" spans="8:8" x14ac:dyDescent="0.25">
      <c r="H680" s="25"/>
    </row>
    <row r="681" spans="8:8" x14ac:dyDescent="0.25">
      <c r="H681" s="25"/>
    </row>
    <row r="682" spans="8:8" x14ac:dyDescent="0.25">
      <c r="H682" s="25"/>
    </row>
    <row r="683" spans="8:8" x14ac:dyDescent="0.25">
      <c r="H683" s="25"/>
    </row>
    <row r="684" spans="8:8" x14ac:dyDescent="0.25">
      <c r="H684" s="25"/>
    </row>
    <row r="685" spans="8:8" x14ac:dyDescent="0.25">
      <c r="H685" s="25"/>
    </row>
    <row r="686" spans="8:8" x14ac:dyDescent="0.25">
      <c r="H686" s="25"/>
    </row>
    <row r="687" spans="8:8" x14ac:dyDescent="0.25">
      <c r="H687" s="25"/>
    </row>
    <row r="688" spans="8:8" x14ac:dyDescent="0.25">
      <c r="H688" s="25"/>
    </row>
    <row r="689" spans="8:8" x14ac:dyDescent="0.25">
      <c r="H689" s="25"/>
    </row>
    <row r="690" spans="8:8" x14ac:dyDescent="0.25">
      <c r="H690" s="25"/>
    </row>
    <row r="691" spans="8:8" x14ac:dyDescent="0.25">
      <c r="H691" s="25"/>
    </row>
    <row r="692" spans="8:8" x14ac:dyDescent="0.25">
      <c r="H692" s="25"/>
    </row>
    <row r="693" spans="8:8" x14ac:dyDescent="0.25">
      <c r="H693" s="25"/>
    </row>
    <row r="694" spans="8:8" x14ac:dyDescent="0.25">
      <c r="H694" s="25"/>
    </row>
    <row r="695" spans="8:8" x14ac:dyDescent="0.25">
      <c r="H695" s="25"/>
    </row>
    <row r="696" spans="8:8" x14ac:dyDescent="0.25">
      <c r="H696" s="25"/>
    </row>
    <row r="697" spans="8:8" x14ac:dyDescent="0.25">
      <c r="H697" s="25"/>
    </row>
    <row r="698" spans="8:8" x14ac:dyDescent="0.25">
      <c r="H698" s="25"/>
    </row>
    <row r="699" spans="8:8" x14ac:dyDescent="0.25">
      <c r="H699" s="25"/>
    </row>
    <row r="700" spans="8:8" x14ac:dyDescent="0.25">
      <c r="H700" s="25"/>
    </row>
    <row r="701" spans="8:8" x14ac:dyDescent="0.25">
      <c r="H701" s="25"/>
    </row>
    <row r="702" spans="8:8" x14ac:dyDescent="0.25">
      <c r="H702" s="25"/>
    </row>
    <row r="703" spans="8:8" x14ac:dyDescent="0.25">
      <c r="H703" s="25"/>
    </row>
    <row r="704" spans="8:8" x14ac:dyDescent="0.25">
      <c r="H704" s="25"/>
    </row>
    <row r="705" spans="8:8" x14ac:dyDescent="0.25">
      <c r="H705" s="25"/>
    </row>
    <row r="706" spans="8:8" x14ac:dyDescent="0.25">
      <c r="H706" s="25"/>
    </row>
    <row r="707" spans="8:8" x14ac:dyDescent="0.25">
      <c r="H707" s="25"/>
    </row>
    <row r="708" spans="8:8" x14ac:dyDescent="0.25">
      <c r="H708" s="25"/>
    </row>
    <row r="709" spans="8:8" x14ac:dyDescent="0.25">
      <c r="H709" s="25"/>
    </row>
    <row r="710" spans="8:8" x14ac:dyDescent="0.25">
      <c r="H710" s="25"/>
    </row>
    <row r="711" spans="8:8" x14ac:dyDescent="0.25">
      <c r="H711" s="25"/>
    </row>
    <row r="712" spans="8:8" x14ac:dyDescent="0.25">
      <c r="H712" s="25"/>
    </row>
    <row r="713" spans="8:8" x14ac:dyDescent="0.25">
      <c r="H713" s="25"/>
    </row>
    <row r="714" spans="8:8" x14ac:dyDescent="0.25">
      <c r="H714" s="25"/>
    </row>
    <row r="715" spans="8:8" x14ac:dyDescent="0.25">
      <c r="H715" s="25"/>
    </row>
    <row r="716" spans="8:8" x14ac:dyDescent="0.25">
      <c r="H716" s="25"/>
    </row>
    <row r="717" spans="8:8" x14ac:dyDescent="0.25">
      <c r="H717" s="25"/>
    </row>
    <row r="718" spans="8:8" x14ac:dyDescent="0.25">
      <c r="H718" s="25"/>
    </row>
    <row r="719" spans="8:8" x14ac:dyDescent="0.25">
      <c r="H719" s="25"/>
    </row>
    <row r="720" spans="8:8" x14ac:dyDescent="0.25">
      <c r="H720" s="25"/>
    </row>
    <row r="721" spans="8:8" x14ac:dyDescent="0.25">
      <c r="H721" s="25"/>
    </row>
    <row r="722" spans="8:8" x14ac:dyDescent="0.25">
      <c r="H722" s="25"/>
    </row>
    <row r="723" spans="8:8" x14ac:dyDescent="0.25">
      <c r="H723" s="25"/>
    </row>
    <row r="724" spans="8:8" x14ac:dyDescent="0.25">
      <c r="H724" s="25"/>
    </row>
    <row r="725" spans="8:8" x14ac:dyDescent="0.25">
      <c r="H725" s="25"/>
    </row>
    <row r="726" spans="8:8" x14ac:dyDescent="0.25">
      <c r="H726" s="25"/>
    </row>
    <row r="727" spans="8:8" x14ac:dyDescent="0.25">
      <c r="H727" s="25"/>
    </row>
    <row r="728" spans="8:8" x14ac:dyDescent="0.25">
      <c r="H728" s="25"/>
    </row>
    <row r="729" spans="8:8" x14ac:dyDescent="0.25">
      <c r="H729" s="25"/>
    </row>
    <row r="730" spans="8:8" x14ac:dyDescent="0.25">
      <c r="H730" s="25"/>
    </row>
    <row r="731" spans="8:8" x14ac:dyDescent="0.25">
      <c r="H731" s="25"/>
    </row>
    <row r="732" spans="8:8" x14ac:dyDescent="0.25">
      <c r="H732" s="25"/>
    </row>
    <row r="733" spans="8:8" x14ac:dyDescent="0.25">
      <c r="H733" s="25"/>
    </row>
    <row r="734" spans="8:8" x14ac:dyDescent="0.25">
      <c r="H734" s="25"/>
    </row>
    <row r="735" spans="8:8" x14ac:dyDescent="0.25">
      <c r="H735" s="25"/>
    </row>
    <row r="736" spans="8:8" x14ac:dyDescent="0.25">
      <c r="H736" s="25"/>
    </row>
    <row r="737" spans="8:8" x14ac:dyDescent="0.25">
      <c r="H737" s="25"/>
    </row>
    <row r="738" spans="8:8" x14ac:dyDescent="0.25">
      <c r="H738" s="25"/>
    </row>
    <row r="739" spans="8:8" x14ac:dyDescent="0.25">
      <c r="H739" s="25"/>
    </row>
    <row r="740" spans="8:8" x14ac:dyDescent="0.25">
      <c r="H740" s="25"/>
    </row>
    <row r="741" spans="8:8" x14ac:dyDescent="0.25">
      <c r="H741" s="25"/>
    </row>
    <row r="742" spans="8:8" x14ac:dyDescent="0.25">
      <c r="H742" s="25"/>
    </row>
    <row r="743" spans="8:8" x14ac:dyDescent="0.25">
      <c r="H743" s="25"/>
    </row>
    <row r="744" spans="8:8" x14ac:dyDescent="0.25">
      <c r="H744" s="25"/>
    </row>
    <row r="745" spans="8:8" x14ac:dyDescent="0.25">
      <c r="H745" s="25"/>
    </row>
    <row r="746" spans="8:8" x14ac:dyDescent="0.25">
      <c r="H746" s="25"/>
    </row>
    <row r="747" spans="8:8" x14ac:dyDescent="0.25">
      <c r="H747" s="25"/>
    </row>
    <row r="748" spans="8:8" x14ac:dyDescent="0.25">
      <c r="H748" s="25"/>
    </row>
    <row r="749" spans="8:8" x14ac:dyDescent="0.25">
      <c r="H749" s="25"/>
    </row>
    <row r="750" spans="8:8" x14ac:dyDescent="0.25">
      <c r="H750" s="25"/>
    </row>
    <row r="751" spans="8:8" x14ac:dyDescent="0.25">
      <c r="H751" s="25"/>
    </row>
    <row r="752" spans="8:8" x14ac:dyDescent="0.25">
      <c r="H752" s="25"/>
    </row>
    <row r="753" spans="8:8" x14ac:dyDescent="0.25">
      <c r="H753" s="25"/>
    </row>
    <row r="754" spans="8:8" x14ac:dyDescent="0.25">
      <c r="H754" s="25"/>
    </row>
    <row r="755" spans="8:8" x14ac:dyDescent="0.25">
      <c r="H755" s="25"/>
    </row>
    <row r="756" spans="8:8" x14ac:dyDescent="0.25">
      <c r="H756" s="25"/>
    </row>
    <row r="757" spans="8:8" x14ac:dyDescent="0.25">
      <c r="H757" s="25"/>
    </row>
    <row r="758" spans="8:8" x14ac:dyDescent="0.25">
      <c r="H758" s="25"/>
    </row>
    <row r="759" spans="8:8" x14ac:dyDescent="0.25">
      <c r="H759" s="25"/>
    </row>
    <row r="760" spans="8:8" x14ac:dyDescent="0.25">
      <c r="H760" s="25"/>
    </row>
    <row r="761" spans="8:8" x14ac:dyDescent="0.25">
      <c r="H761" s="25"/>
    </row>
    <row r="762" spans="8:8" x14ac:dyDescent="0.25">
      <c r="H762" s="25"/>
    </row>
    <row r="763" spans="8:8" x14ac:dyDescent="0.25">
      <c r="H763" s="25"/>
    </row>
    <row r="764" spans="8:8" x14ac:dyDescent="0.25">
      <c r="H764" s="25"/>
    </row>
    <row r="765" spans="8:8" x14ac:dyDescent="0.25">
      <c r="H765" s="25"/>
    </row>
    <row r="766" spans="8:8" x14ac:dyDescent="0.25">
      <c r="H766" s="25"/>
    </row>
    <row r="767" spans="8:8" x14ac:dyDescent="0.25">
      <c r="H767" s="25"/>
    </row>
    <row r="768" spans="8:8" x14ac:dyDescent="0.25">
      <c r="H768" s="25"/>
    </row>
    <row r="769" spans="8:8" x14ac:dyDescent="0.25">
      <c r="H769" s="25"/>
    </row>
    <row r="770" spans="8:8" x14ac:dyDescent="0.25">
      <c r="H770" s="25"/>
    </row>
    <row r="771" spans="8:8" x14ac:dyDescent="0.25">
      <c r="H771" s="25"/>
    </row>
    <row r="772" spans="8:8" x14ac:dyDescent="0.25">
      <c r="H772" s="25"/>
    </row>
    <row r="773" spans="8:8" x14ac:dyDescent="0.25">
      <c r="H773" s="25"/>
    </row>
    <row r="774" spans="8:8" x14ac:dyDescent="0.25">
      <c r="H774" s="25"/>
    </row>
    <row r="775" spans="8:8" x14ac:dyDescent="0.25">
      <c r="H775" s="25"/>
    </row>
    <row r="776" spans="8:8" x14ac:dyDescent="0.25">
      <c r="H776" s="25"/>
    </row>
    <row r="777" spans="8:8" x14ac:dyDescent="0.25">
      <c r="H777" s="25"/>
    </row>
    <row r="778" spans="8:8" x14ac:dyDescent="0.25">
      <c r="H778" s="25"/>
    </row>
    <row r="779" spans="8:8" x14ac:dyDescent="0.25">
      <c r="H779" s="25"/>
    </row>
    <row r="780" spans="8:8" x14ac:dyDescent="0.25">
      <c r="H780" s="25"/>
    </row>
    <row r="781" spans="8:8" x14ac:dyDescent="0.25">
      <c r="H781" s="25"/>
    </row>
    <row r="782" spans="8:8" x14ac:dyDescent="0.25">
      <c r="H782" s="25"/>
    </row>
    <row r="783" spans="8:8" x14ac:dyDescent="0.25">
      <c r="H783" s="25"/>
    </row>
    <row r="784" spans="8:8" x14ac:dyDescent="0.25">
      <c r="H784" s="25"/>
    </row>
    <row r="785" spans="8:8" x14ac:dyDescent="0.25">
      <c r="H785" s="25"/>
    </row>
    <row r="786" spans="8:8" x14ac:dyDescent="0.25">
      <c r="H786" s="25"/>
    </row>
    <row r="787" spans="8:8" x14ac:dyDescent="0.25">
      <c r="H787" s="25"/>
    </row>
    <row r="788" spans="8:8" x14ac:dyDescent="0.25">
      <c r="H788" s="25"/>
    </row>
    <row r="789" spans="8:8" x14ac:dyDescent="0.25">
      <c r="H789" s="25"/>
    </row>
    <row r="790" spans="8:8" x14ac:dyDescent="0.25">
      <c r="H790" s="25"/>
    </row>
    <row r="791" spans="8:8" x14ac:dyDescent="0.25">
      <c r="H791" s="25"/>
    </row>
    <row r="792" spans="8:8" x14ac:dyDescent="0.25">
      <c r="H792" s="25"/>
    </row>
    <row r="793" spans="8:8" x14ac:dyDescent="0.25">
      <c r="H793" s="25"/>
    </row>
    <row r="794" spans="8:8" x14ac:dyDescent="0.25">
      <c r="H794" s="25"/>
    </row>
    <row r="795" spans="8:8" x14ac:dyDescent="0.25">
      <c r="H795" s="25"/>
    </row>
    <row r="796" spans="8:8" x14ac:dyDescent="0.25">
      <c r="H796" s="25"/>
    </row>
    <row r="797" spans="8:8" x14ac:dyDescent="0.25">
      <c r="H797" s="25"/>
    </row>
    <row r="798" spans="8:8" x14ac:dyDescent="0.25">
      <c r="H798" s="25"/>
    </row>
    <row r="799" spans="8:8" x14ac:dyDescent="0.25">
      <c r="H799" s="25"/>
    </row>
    <row r="800" spans="8:8" x14ac:dyDescent="0.25">
      <c r="H800" s="25"/>
    </row>
    <row r="801" spans="8:8" x14ac:dyDescent="0.25">
      <c r="H801" s="25"/>
    </row>
    <row r="802" spans="8:8" x14ac:dyDescent="0.25">
      <c r="H802" s="25"/>
    </row>
    <row r="803" spans="8:8" x14ac:dyDescent="0.25">
      <c r="H803" s="25"/>
    </row>
    <row r="804" spans="8:8" x14ac:dyDescent="0.25">
      <c r="H804" s="25"/>
    </row>
    <row r="805" spans="8:8" x14ac:dyDescent="0.25">
      <c r="H805" s="25"/>
    </row>
    <row r="806" spans="8:8" x14ac:dyDescent="0.25">
      <c r="H806" s="25"/>
    </row>
    <row r="807" spans="8:8" x14ac:dyDescent="0.25">
      <c r="H807" s="25"/>
    </row>
    <row r="808" spans="8:8" x14ac:dyDescent="0.25">
      <c r="H808" s="25"/>
    </row>
    <row r="809" spans="8:8" x14ac:dyDescent="0.25">
      <c r="H809" s="25"/>
    </row>
    <row r="810" spans="8:8" x14ac:dyDescent="0.25">
      <c r="H810" s="25"/>
    </row>
    <row r="811" spans="8:8" x14ac:dyDescent="0.25">
      <c r="H811" s="25"/>
    </row>
    <row r="812" spans="8:8" x14ac:dyDescent="0.25">
      <c r="H812" s="25"/>
    </row>
    <row r="813" spans="8:8" x14ac:dyDescent="0.25">
      <c r="H813" s="25"/>
    </row>
    <row r="814" spans="8:8" x14ac:dyDescent="0.25">
      <c r="H814" s="25"/>
    </row>
    <row r="815" spans="8:8" x14ac:dyDescent="0.25">
      <c r="H815" s="25"/>
    </row>
    <row r="816" spans="8:8" x14ac:dyDescent="0.25">
      <c r="H816" s="25"/>
    </row>
    <row r="817" spans="8:8" x14ac:dyDescent="0.25">
      <c r="H817" s="25"/>
    </row>
    <row r="818" spans="8:8" x14ac:dyDescent="0.25">
      <c r="H818" s="25"/>
    </row>
    <row r="819" spans="8:8" x14ac:dyDescent="0.25">
      <c r="H819" s="25"/>
    </row>
    <row r="820" spans="8:8" x14ac:dyDescent="0.25">
      <c r="H820" s="25"/>
    </row>
    <row r="821" spans="8:8" x14ac:dyDescent="0.25">
      <c r="H821" s="25"/>
    </row>
    <row r="822" spans="8:8" x14ac:dyDescent="0.25">
      <c r="H822" s="25"/>
    </row>
    <row r="823" spans="8:8" x14ac:dyDescent="0.25">
      <c r="H823" s="25"/>
    </row>
    <row r="824" spans="8:8" x14ac:dyDescent="0.25">
      <c r="H824" s="25"/>
    </row>
    <row r="825" spans="8:8" x14ac:dyDescent="0.25">
      <c r="H825" s="25"/>
    </row>
    <row r="826" spans="8:8" x14ac:dyDescent="0.25">
      <c r="H826" s="25"/>
    </row>
    <row r="827" spans="8:8" x14ac:dyDescent="0.25">
      <c r="H827" s="25"/>
    </row>
    <row r="828" spans="8:8" x14ac:dyDescent="0.25">
      <c r="H828" s="25"/>
    </row>
    <row r="829" spans="8:8" x14ac:dyDescent="0.25">
      <c r="H829" s="25"/>
    </row>
    <row r="830" spans="8:8" x14ac:dyDescent="0.25">
      <c r="H830" s="25"/>
    </row>
    <row r="831" spans="8:8" x14ac:dyDescent="0.25">
      <c r="H831" s="25"/>
    </row>
    <row r="832" spans="8:8" x14ac:dyDescent="0.25">
      <c r="H832" s="25"/>
    </row>
    <row r="833" spans="8:8" x14ac:dyDescent="0.25">
      <c r="H833" s="25"/>
    </row>
    <row r="834" spans="8:8" x14ac:dyDescent="0.25">
      <c r="H834" s="25"/>
    </row>
    <row r="835" spans="8:8" x14ac:dyDescent="0.25">
      <c r="H835" s="25"/>
    </row>
    <row r="836" spans="8:8" x14ac:dyDescent="0.25">
      <c r="H836" s="25"/>
    </row>
    <row r="837" spans="8:8" x14ac:dyDescent="0.25">
      <c r="H837" s="25"/>
    </row>
    <row r="838" spans="8:8" x14ac:dyDescent="0.25">
      <c r="H838" s="25"/>
    </row>
    <row r="839" spans="8:8" x14ac:dyDescent="0.25">
      <c r="H839" s="25"/>
    </row>
    <row r="840" spans="8:8" x14ac:dyDescent="0.25">
      <c r="H840" s="25"/>
    </row>
    <row r="841" spans="8:8" x14ac:dyDescent="0.25">
      <c r="H841" s="25"/>
    </row>
    <row r="842" spans="8:8" x14ac:dyDescent="0.25">
      <c r="H842" s="25"/>
    </row>
    <row r="843" spans="8:8" x14ac:dyDescent="0.25">
      <c r="H843" s="25"/>
    </row>
    <row r="844" spans="8:8" x14ac:dyDescent="0.25">
      <c r="H844" s="25"/>
    </row>
    <row r="845" spans="8:8" x14ac:dyDescent="0.25">
      <c r="H845" s="25"/>
    </row>
    <row r="846" spans="8:8" x14ac:dyDescent="0.25">
      <c r="H846" s="25"/>
    </row>
    <row r="847" spans="8:8" x14ac:dyDescent="0.25">
      <c r="H847" s="25"/>
    </row>
    <row r="848" spans="8:8" x14ac:dyDescent="0.25">
      <c r="H848" s="25"/>
    </row>
    <row r="849" spans="8:8" x14ac:dyDescent="0.25">
      <c r="H849" s="25"/>
    </row>
    <row r="850" spans="8:8" x14ac:dyDescent="0.25">
      <c r="H850" s="25"/>
    </row>
    <row r="851" spans="8:8" x14ac:dyDescent="0.25">
      <c r="H851" s="25"/>
    </row>
    <row r="852" spans="8:8" x14ac:dyDescent="0.25">
      <c r="H852" s="25"/>
    </row>
    <row r="853" spans="8:8" x14ac:dyDescent="0.25">
      <c r="H853" s="25"/>
    </row>
    <row r="854" spans="8:8" x14ac:dyDescent="0.25">
      <c r="H854" s="25"/>
    </row>
    <row r="855" spans="8:8" x14ac:dyDescent="0.25">
      <c r="H855" s="25"/>
    </row>
    <row r="856" spans="8:8" x14ac:dyDescent="0.25">
      <c r="H856" s="25"/>
    </row>
    <row r="857" spans="8:8" x14ac:dyDescent="0.25">
      <c r="H857" s="25"/>
    </row>
    <row r="858" spans="8:8" x14ac:dyDescent="0.25">
      <c r="H858" s="25"/>
    </row>
    <row r="859" spans="8:8" x14ac:dyDescent="0.25">
      <c r="H859" s="25"/>
    </row>
    <row r="860" spans="8:8" x14ac:dyDescent="0.25">
      <c r="H860" s="25"/>
    </row>
    <row r="861" spans="8:8" x14ac:dyDescent="0.25">
      <c r="H861" s="25"/>
    </row>
    <row r="862" spans="8:8" x14ac:dyDescent="0.25">
      <c r="H862" s="25"/>
    </row>
    <row r="863" spans="8:8" x14ac:dyDescent="0.25">
      <c r="H863" s="25"/>
    </row>
    <row r="864" spans="8:8" x14ac:dyDescent="0.25">
      <c r="H864" s="25"/>
    </row>
    <row r="865" spans="8:8" x14ac:dyDescent="0.25">
      <c r="H865" s="25"/>
    </row>
    <row r="866" spans="8:8" x14ac:dyDescent="0.25">
      <c r="H866" s="25"/>
    </row>
    <row r="867" spans="8:8" x14ac:dyDescent="0.25">
      <c r="H867" s="25"/>
    </row>
    <row r="868" spans="8:8" x14ac:dyDescent="0.25">
      <c r="H868" s="25"/>
    </row>
    <row r="869" spans="8:8" x14ac:dyDescent="0.25">
      <c r="H869" s="25"/>
    </row>
    <row r="870" spans="8:8" x14ac:dyDescent="0.25">
      <c r="H870" s="25"/>
    </row>
    <row r="871" spans="8:8" x14ac:dyDescent="0.25">
      <c r="H871" s="25"/>
    </row>
    <row r="872" spans="8:8" x14ac:dyDescent="0.25">
      <c r="H872" s="25"/>
    </row>
    <row r="873" spans="8:8" x14ac:dyDescent="0.25">
      <c r="H873" s="25"/>
    </row>
    <row r="874" spans="8:8" x14ac:dyDescent="0.25">
      <c r="H874" s="25"/>
    </row>
    <row r="875" spans="8:8" x14ac:dyDescent="0.25">
      <c r="H875" s="25"/>
    </row>
    <row r="876" spans="8:8" x14ac:dyDescent="0.25">
      <c r="H876" s="25"/>
    </row>
    <row r="877" spans="8:8" x14ac:dyDescent="0.25">
      <c r="H877" s="25"/>
    </row>
    <row r="878" spans="8:8" x14ac:dyDescent="0.25">
      <c r="H878" s="25"/>
    </row>
    <row r="879" spans="8:8" x14ac:dyDescent="0.25">
      <c r="H879" s="25"/>
    </row>
    <row r="880" spans="8:8" x14ac:dyDescent="0.25">
      <c r="H880" s="25"/>
    </row>
    <row r="881" spans="8:8" x14ac:dyDescent="0.25">
      <c r="H881" s="25"/>
    </row>
    <row r="882" spans="8:8" x14ac:dyDescent="0.25">
      <c r="H882" s="25"/>
    </row>
    <row r="883" spans="8:8" x14ac:dyDescent="0.25">
      <c r="H883" s="25"/>
    </row>
    <row r="884" spans="8:8" x14ac:dyDescent="0.25">
      <c r="H884" s="25"/>
    </row>
    <row r="885" spans="8:8" x14ac:dyDescent="0.25">
      <c r="H885" s="25"/>
    </row>
    <row r="886" spans="8:8" x14ac:dyDescent="0.25">
      <c r="H886" s="25"/>
    </row>
    <row r="887" spans="8:8" x14ac:dyDescent="0.25">
      <c r="H887" s="25"/>
    </row>
    <row r="888" spans="8:8" x14ac:dyDescent="0.25">
      <c r="H888" s="25"/>
    </row>
    <row r="889" spans="8:8" x14ac:dyDescent="0.25">
      <c r="H889" s="25"/>
    </row>
    <row r="890" spans="8:8" x14ac:dyDescent="0.25">
      <c r="H890" s="25"/>
    </row>
    <row r="891" spans="8:8" x14ac:dyDescent="0.25">
      <c r="H891" s="25"/>
    </row>
    <row r="892" spans="8:8" x14ac:dyDescent="0.25">
      <c r="H892" s="25"/>
    </row>
    <row r="893" spans="8:8" x14ac:dyDescent="0.25">
      <c r="H893" s="25"/>
    </row>
    <row r="894" spans="8:8" x14ac:dyDescent="0.25">
      <c r="H894" s="25"/>
    </row>
    <row r="895" spans="8:8" x14ac:dyDescent="0.25">
      <c r="H895" s="25"/>
    </row>
    <row r="896" spans="8:8" x14ac:dyDescent="0.25">
      <c r="H896" s="25"/>
    </row>
    <row r="897" spans="8:8" x14ac:dyDescent="0.25">
      <c r="H897" s="25"/>
    </row>
    <row r="898" spans="8:8" x14ac:dyDescent="0.25">
      <c r="H898" s="25"/>
    </row>
    <row r="899" spans="8:8" x14ac:dyDescent="0.25">
      <c r="H899" s="25"/>
    </row>
    <row r="900" spans="8:8" x14ac:dyDescent="0.25">
      <c r="H900" s="25"/>
    </row>
    <row r="901" spans="8:8" x14ac:dyDescent="0.25">
      <c r="H901" s="25"/>
    </row>
    <row r="902" spans="8:8" x14ac:dyDescent="0.25">
      <c r="H902" s="25"/>
    </row>
    <row r="903" spans="8:8" x14ac:dyDescent="0.25">
      <c r="H903" s="25"/>
    </row>
    <row r="904" spans="8:8" x14ac:dyDescent="0.25">
      <c r="H904" s="25"/>
    </row>
    <row r="905" spans="8:8" x14ac:dyDescent="0.25">
      <c r="H905" s="25"/>
    </row>
    <row r="906" spans="8:8" x14ac:dyDescent="0.25">
      <c r="H906" s="25"/>
    </row>
    <row r="907" spans="8:8" x14ac:dyDescent="0.25">
      <c r="H907" s="25"/>
    </row>
    <row r="908" spans="8:8" x14ac:dyDescent="0.25">
      <c r="H908" s="25"/>
    </row>
    <row r="909" spans="8:8" x14ac:dyDescent="0.25">
      <c r="H909" s="25"/>
    </row>
    <row r="910" spans="8:8" x14ac:dyDescent="0.25">
      <c r="H910" s="25"/>
    </row>
    <row r="911" spans="8:8" x14ac:dyDescent="0.25">
      <c r="H911" s="25"/>
    </row>
    <row r="912" spans="8:8" x14ac:dyDescent="0.25">
      <c r="H912" s="25"/>
    </row>
    <row r="913" spans="8:8" x14ac:dyDescent="0.25">
      <c r="H913" s="25"/>
    </row>
    <row r="914" spans="8:8" x14ac:dyDescent="0.25">
      <c r="H914" s="25"/>
    </row>
    <row r="915" spans="8:8" x14ac:dyDescent="0.25">
      <c r="H915" s="25"/>
    </row>
    <row r="916" spans="8:8" x14ac:dyDescent="0.25">
      <c r="H916" s="25"/>
    </row>
    <row r="917" spans="8:8" x14ac:dyDescent="0.25">
      <c r="H917" s="25"/>
    </row>
    <row r="918" spans="8:8" x14ac:dyDescent="0.25">
      <c r="H918" s="25"/>
    </row>
    <row r="919" spans="8:8" x14ac:dyDescent="0.25">
      <c r="H919" s="25"/>
    </row>
    <row r="920" spans="8:8" x14ac:dyDescent="0.25">
      <c r="H920" s="25"/>
    </row>
    <row r="921" spans="8:8" x14ac:dyDescent="0.25">
      <c r="H921" s="25"/>
    </row>
    <row r="922" spans="8:8" x14ac:dyDescent="0.25">
      <c r="H922" s="25"/>
    </row>
    <row r="923" spans="8:8" x14ac:dyDescent="0.25">
      <c r="H923" s="25"/>
    </row>
    <row r="924" spans="8:8" x14ac:dyDescent="0.25">
      <c r="H924" s="25"/>
    </row>
    <row r="925" spans="8:8" x14ac:dyDescent="0.25">
      <c r="H925" s="25"/>
    </row>
    <row r="926" spans="8:8" x14ac:dyDescent="0.25">
      <c r="H926" s="25"/>
    </row>
    <row r="927" spans="8:8" x14ac:dyDescent="0.25">
      <c r="H927" s="25"/>
    </row>
    <row r="928" spans="8:8" x14ac:dyDescent="0.25">
      <c r="H928" s="25"/>
    </row>
    <row r="929" spans="8:8" x14ac:dyDescent="0.25">
      <c r="H929" s="25"/>
    </row>
    <row r="930" spans="8:8" x14ac:dyDescent="0.25">
      <c r="H930" s="25"/>
    </row>
    <row r="931" spans="8:8" x14ac:dyDescent="0.25">
      <c r="H931" s="25"/>
    </row>
    <row r="932" spans="8:8" x14ac:dyDescent="0.25">
      <c r="H932" s="25"/>
    </row>
    <row r="933" spans="8:8" x14ac:dyDescent="0.25">
      <c r="H933" s="25"/>
    </row>
    <row r="934" spans="8:8" x14ac:dyDescent="0.25">
      <c r="H934" s="25"/>
    </row>
    <row r="935" spans="8:8" x14ac:dyDescent="0.25">
      <c r="H935" s="25"/>
    </row>
    <row r="936" spans="8:8" x14ac:dyDescent="0.25">
      <c r="H936" s="25"/>
    </row>
    <row r="937" spans="8:8" x14ac:dyDescent="0.25">
      <c r="H937" s="25"/>
    </row>
    <row r="938" spans="8:8" x14ac:dyDescent="0.25">
      <c r="H938" s="25"/>
    </row>
    <row r="939" spans="8:8" x14ac:dyDescent="0.25">
      <c r="H939" s="25"/>
    </row>
    <row r="940" spans="8:8" x14ac:dyDescent="0.25">
      <c r="H940" s="25"/>
    </row>
    <row r="941" spans="8:8" x14ac:dyDescent="0.25">
      <c r="H941" s="25"/>
    </row>
    <row r="942" spans="8:8" x14ac:dyDescent="0.25">
      <c r="H942" s="25"/>
    </row>
    <row r="943" spans="8:8" x14ac:dyDescent="0.25">
      <c r="H943" s="25"/>
    </row>
    <row r="944" spans="8:8" x14ac:dyDescent="0.25">
      <c r="H944" s="25"/>
    </row>
    <row r="945" spans="8:8" x14ac:dyDescent="0.25">
      <c r="H945" s="25"/>
    </row>
    <row r="946" spans="8:8" x14ac:dyDescent="0.25">
      <c r="H946" s="25"/>
    </row>
    <row r="947" spans="8:8" x14ac:dyDescent="0.25">
      <c r="H947" s="25"/>
    </row>
    <row r="948" spans="8:8" x14ac:dyDescent="0.25">
      <c r="H948" s="25"/>
    </row>
    <row r="949" spans="8:8" x14ac:dyDescent="0.25">
      <c r="H949" s="25"/>
    </row>
    <row r="950" spans="8:8" x14ac:dyDescent="0.25">
      <c r="H950" s="25"/>
    </row>
    <row r="951" spans="8:8" x14ac:dyDescent="0.25">
      <c r="H951" s="25"/>
    </row>
    <row r="952" spans="8:8" x14ac:dyDescent="0.25">
      <c r="H952" s="25"/>
    </row>
    <row r="953" spans="8:8" x14ac:dyDescent="0.25">
      <c r="H953" s="25"/>
    </row>
    <row r="954" spans="8:8" x14ac:dyDescent="0.25">
      <c r="H954" s="25"/>
    </row>
    <row r="955" spans="8:8" x14ac:dyDescent="0.25">
      <c r="H955" s="25"/>
    </row>
    <row r="956" spans="8:8" x14ac:dyDescent="0.25">
      <c r="H956" s="25"/>
    </row>
    <row r="957" spans="8:8" x14ac:dyDescent="0.25">
      <c r="H957" s="25"/>
    </row>
    <row r="958" spans="8:8" x14ac:dyDescent="0.25">
      <c r="H958" s="25"/>
    </row>
    <row r="959" spans="8:8" x14ac:dyDescent="0.25">
      <c r="H959" s="25"/>
    </row>
    <row r="960" spans="8:8" x14ac:dyDescent="0.25">
      <c r="H960" s="25"/>
    </row>
    <row r="961" spans="8:8" x14ac:dyDescent="0.25">
      <c r="H961" s="25"/>
    </row>
    <row r="962" spans="8:8" x14ac:dyDescent="0.25">
      <c r="H962" s="25"/>
    </row>
    <row r="963" spans="8:8" x14ac:dyDescent="0.25">
      <c r="H963" s="25"/>
    </row>
    <row r="964" spans="8:8" x14ac:dyDescent="0.25">
      <c r="H964" s="25"/>
    </row>
    <row r="965" spans="8:8" x14ac:dyDescent="0.25">
      <c r="H965" s="25"/>
    </row>
    <row r="966" spans="8:8" x14ac:dyDescent="0.25">
      <c r="H966" s="25"/>
    </row>
    <row r="967" spans="8:8" x14ac:dyDescent="0.25">
      <c r="H967" s="25"/>
    </row>
    <row r="968" spans="8:8" x14ac:dyDescent="0.25">
      <c r="H968" s="25"/>
    </row>
    <row r="969" spans="8:8" x14ac:dyDescent="0.25">
      <c r="H969" s="25"/>
    </row>
    <row r="970" spans="8:8" x14ac:dyDescent="0.25">
      <c r="H970" s="25"/>
    </row>
    <row r="971" spans="8:8" x14ac:dyDescent="0.25">
      <c r="H971" s="25"/>
    </row>
    <row r="972" spans="8:8" x14ac:dyDescent="0.25">
      <c r="H972" s="25"/>
    </row>
    <row r="973" spans="8:8" x14ac:dyDescent="0.25">
      <c r="H973" s="25"/>
    </row>
    <row r="974" spans="8:8" x14ac:dyDescent="0.25">
      <c r="H974" s="25"/>
    </row>
    <row r="975" spans="8:8" x14ac:dyDescent="0.25">
      <c r="H975" s="25"/>
    </row>
    <row r="976" spans="8:8" x14ac:dyDescent="0.25">
      <c r="H976" s="25"/>
    </row>
    <row r="977" spans="8:8" x14ac:dyDescent="0.25">
      <c r="H977" s="25"/>
    </row>
    <row r="978" spans="8:8" x14ac:dyDescent="0.25">
      <c r="H978" s="25"/>
    </row>
    <row r="979" spans="8:8" x14ac:dyDescent="0.25">
      <c r="H979" s="25"/>
    </row>
    <row r="980" spans="8:8" x14ac:dyDescent="0.25">
      <c r="H980" s="25"/>
    </row>
    <row r="981" spans="8:8" x14ac:dyDescent="0.25">
      <c r="H981" s="25"/>
    </row>
    <row r="982" spans="8:8" x14ac:dyDescent="0.25">
      <c r="H982" s="25"/>
    </row>
    <row r="983" spans="8:8" x14ac:dyDescent="0.25">
      <c r="H983" s="25"/>
    </row>
    <row r="984" spans="8:8" x14ac:dyDescent="0.25">
      <c r="H984" s="25"/>
    </row>
    <row r="985" spans="8:8" x14ac:dyDescent="0.25">
      <c r="H985" s="25"/>
    </row>
    <row r="986" spans="8:8" x14ac:dyDescent="0.25">
      <c r="H986" s="25"/>
    </row>
    <row r="987" spans="8:8" x14ac:dyDescent="0.25">
      <c r="H987" s="25"/>
    </row>
    <row r="988" spans="8:8" x14ac:dyDescent="0.25">
      <c r="H988" s="25"/>
    </row>
    <row r="989" spans="8:8" x14ac:dyDescent="0.25">
      <c r="H989" s="25"/>
    </row>
    <row r="990" spans="8:8" x14ac:dyDescent="0.25">
      <c r="H990" s="25"/>
    </row>
    <row r="991" spans="8:8" x14ac:dyDescent="0.25">
      <c r="H991" s="25"/>
    </row>
    <row r="992" spans="8:8" x14ac:dyDescent="0.25">
      <c r="H992" s="25"/>
    </row>
    <row r="993" spans="8:8" x14ac:dyDescent="0.25">
      <c r="H993" s="25"/>
    </row>
    <row r="994" spans="8:8" x14ac:dyDescent="0.25">
      <c r="H994" s="25"/>
    </row>
    <row r="995" spans="8:8" x14ac:dyDescent="0.25">
      <c r="H995" s="25"/>
    </row>
    <row r="996" spans="8:8" x14ac:dyDescent="0.25">
      <c r="H996" s="25"/>
    </row>
    <row r="997" spans="8:8" x14ac:dyDescent="0.25">
      <c r="H997" s="25"/>
    </row>
    <row r="998" spans="8:8" x14ac:dyDescent="0.25">
      <c r="H998" s="25"/>
    </row>
    <row r="999" spans="8:8" x14ac:dyDescent="0.25">
      <c r="H999" s="25"/>
    </row>
    <row r="1000" spans="8:8" x14ac:dyDescent="0.25">
      <c r="H1000" s="25"/>
    </row>
    <row r="1001" spans="8:8" x14ac:dyDescent="0.25">
      <c r="H1001" s="25"/>
    </row>
    <row r="1002" spans="8:8" x14ac:dyDescent="0.25">
      <c r="H1002" s="25"/>
    </row>
    <row r="1003" spans="8:8" x14ac:dyDescent="0.25">
      <c r="H1003" s="25"/>
    </row>
    <row r="1004" spans="8:8" x14ac:dyDescent="0.25">
      <c r="H1004" s="25"/>
    </row>
    <row r="1005" spans="8:8" x14ac:dyDescent="0.25">
      <c r="H1005" s="25"/>
    </row>
    <row r="1006" spans="8:8" x14ac:dyDescent="0.25">
      <c r="H1006" s="25"/>
    </row>
    <row r="1007" spans="8:8" x14ac:dyDescent="0.25">
      <c r="H1007" s="25"/>
    </row>
    <row r="1008" spans="8:8" x14ac:dyDescent="0.25">
      <c r="H1008" s="25"/>
    </row>
    <row r="1009" spans="8:8" x14ac:dyDescent="0.25">
      <c r="H1009" s="25"/>
    </row>
    <row r="1010" spans="8:8" x14ac:dyDescent="0.25">
      <c r="H1010" s="25"/>
    </row>
    <row r="1011" spans="8:8" x14ac:dyDescent="0.25">
      <c r="H1011" s="25"/>
    </row>
    <row r="1012" spans="8:8" x14ac:dyDescent="0.25">
      <c r="H1012" s="25"/>
    </row>
    <row r="1013" spans="8:8" x14ac:dyDescent="0.25">
      <c r="H1013" s="25"/>
    </row>
    <row r="1014" spans="8:8" x14ac:dyDescent="0.25">
      <c r="H1014" s="25"/>
    </row>
    <row r="1015" spans="8:8" x14ac:dyDescent="0.25">
      <c r="H1015" s="25"/>
    </row>
    <row r="1016" spans="8:8" x14ac:dyDescent="0.25">
      <c r="H1016" s="25"/>
    </row>
    <row r="1017" spans="8:8" x14ac:dyDescent="0.25">
      <c r="H1017" s="25"/>
    </row>
    <row r="1018" spans="8:8" x14ac:dyDescent="0.25">
      <c r="H1018" s="25"/>
    </row>
    <row r="1019" spans="8:8" x14ac:dyDescent="0.25">
      <c r="H1019" s="25"/>
    </row>
    <row r="1020" spans="8:8" x14ac:dyDescent="0.25">
      <c r="H1020" s="25"/>
    </row>
    <row r="1021" spans="8:8" x14ac:dyDescent="0.25">
      <c r="H1021" s="25"/>
    </row>
    <row r="1022" spans="8:8" x14ac:dyDescent="0.25">
      <c r="H1022" s="25"/>
    </row>
    <row r="1023" spans="8:8" x14ac:dyDescent="0.25">
      <c r="H1023" s="25"/>
    </row>
    <row r="1024" spans="8:8" x14ac:dyDescent="0.25">
      <c r="H1024" s="25"/>
    </row>
    <row r="1025" spans="8:8" x14ac:dyDescent="0.25">
      <c r="H1025" s="25"/>
    </row>
    <row r="1026" spans="8:8" x14ac:dyDescent="0.25">
      <c r="H1026" s="25"/>
    </row>
    <row r="1027" spans="8:8" x14ac:dyDescent="0.25">
      <c r="H1027" s="25"/>
    </row>
    <row r="1028" spans="8:8" x14ac:dyDescent="0.25">
      <c r="H1028" s="25"/>
    </row>
    <row r="1029" spans="8:8" x14ac:dyDescent="0.25">
      <c r="H1029" s="25"/>
    </row>
    <row r="1030" spans="8:8" x14ac:dyDescent="0.25">
      <c r="H1030" s="25"/>
    </row>
    <row r="1031" spans="8:8" x14ac:dyDescent="0.25">
      <c r="H1031" s="25"/>
    </row>
    <row r="1032" spans="8:8" x14ac:dyDescent="0.25">
      <c r="H1032" s="25"/>
    </row>
    <row r="1033" spans="8:8" x14ac:dyDescent="0.25">
      <c r="H1033" s="25"/>
    </row>
    <row r="1034" spans="8:8" x14ac:dyDescent="0.25">
      <c r="H1034" s="25"/>
    </row>
    <row r="1035" spans="8:8" x14ac:dyDescent="0.25">
      <c r="H1035" s="25"/>
    </row>
    <row r="1036" spans="8:8" x14ac:dyDescent="0.25">
      <c r="H1036" s="25"/>
    </row>
    <row r="1037" spans="8:8" x14ac:dyDescent="0.25">
      <c r="H1037" s="25"/>
    </row>
    <row r="1038" spans="8:8" x14ac:dyDescent="0.25">
      <c r="H1038" s="25"/>
    </row>
    <row r="1039" spans="8:8" x14ac:dyDescent="0.25">
      <c r="H1039" s="25"/>
    </row>
    <row r="1040" spans="8:8" x14ac:dyDescent="0.25">
      <c r="H1040" s="25"/>
    </row>
    <row r="1041" spans="8:8" x14ac:dyDescent="0.25">
      <c r="H1041" s="25"/>
    </row>
    <row r="1042" spans="8:8" x14ac:dyDescent="0.25">
      <c r="H1042" s="25"/>
    </row>
    <row r="1043" spans="8:8" x14ac:dyDescent="0.25">
      <c r="H1043" s="25"/>
    </row>
    <row r="1044" spans="8:8" x14ac:dyDescent="0.25">
      <c r="H1044" s="25"/>
    </row>
    <row r="1045" spans="8:8" x14ac:dyDescent="0.25">
      <c r="H1045" s="25"/>
    </row>
    <row r="1046" spans="8:8" x14ac:dyDescent="0.25">
      <c r="H1046" s="25"/>
    </row>
    <row r="1047" spans="8:8" x14ac:dyDescent="0.25">
      <c r="H1047" s="25"/>
    </row>
    <row r="1048" spans="8:8" x14ac:dyDescent="0.25">
      <c r="H1048" s="25"/>
    </row>
    <row r="1049" spans="8:8" x14ac:dyDescent="0.25">
      <c r="H1049" s="25"/>
    </row>
    <row r="1050" spans="8:8" x14ac:dyDescent="0.25">
      <c r="H1050" s="25"/>
    </row>
    <row r="1051" spans="8:8" x14ac:dyDescent="0.25">
      <c r="H1051" s="25"/>
    </row>
    <row r="1052" spans="8:8" x14ac:dyDescent="0.25">
      <c r="H1052" s="25"/>
    </row>
    <row r="1053" spans="8:8" x14ac:dyDescent="0.25">
      <c r="H1053" s="25"/>
    </row>
    <row r="1054" spans="8:8" x14ac:dyDescent="0.25">
      <c r="H1054" s="25"/>
    </row>
    <row r="1055" spans="8:8" x14ac:dyDescent="0.25">
      <c r="H1055" s="25"/>
    </row>
    <row r="1056" spans="8:8" x14ac:dyDescent="0.25">
      <c r="H1056" s="25"/>
    </row>
    <row r="1057" spans="8:8" x14ac:dyDescent="0.25">
      <c r="H1057" s="25"/>
    </row>
    <row r="1058" spans="8:8" x14ac:dyDescent="0.25">
      <c r="H1058" s="25"/>
    </row>
    <row r="1059" spans="8:8" x14ac:dyDescent="0.25">
      <c r="H1059" s="25"/>
    </row>
    <row r="1060" spans="8:8" x14ac:dyDescent="0.25">
      <c r="H1060" s="25"/>
    </row>
    <row r="1061" spans="8:8" x14ac:dyDescent="0.25">
      <c r="H1061" s="25"/>
    </row>
    <row r="1062" spans="8:8" x14ac:dyDescent="0.25">
      <c r="H1062" s="25"/>
    </row>
    <row r="1063" spans="8:8" x14ac:dyDescent="0.25">
      <c r="H1063" s="25"/>
    </row>
    <row r="1064" spans="8:8" x14ac:dyDescent="0.25">
      <c r="H1064" s="25"/>
    </row>
    <row r="1065" spans="8:8" x14ac:dyDescent="0.25">
      <c r="H1065" s="25"/>
    </row>
    <row r="1066" spans="8:8" x14ac:dyDescent="0.25">
      <c r="H1066" s="25"/>
    </row>
    <row r="1067" spans="8:8" x14ac:dyDescent="0.25">
      <c r="H1067" s="25"/>
    </row>
    <row r="1068" spans="8:8" x14ac:dyDescent="0.25">
      <c r="H1068" s="25"/>
    </row>
    <row r="1069" spans="8:8" x14ac:dyDescent="0.25">
      <c r="H1069" s="25"/>
    </row>
    <row r="1070" spans="8:8" x14ac:dyDescent="0.25">
      <c r="H1070" s="25"/>
    </row>
    <row r="1071" spans="8:8" x14ac:dyDescent="0.25">
      <c r="H1071" s="25"/>
    </row>
    <row r="1072" spans="8:8" x14ac:dyDescent="0.25">
      <c r="H1072" s="25"/>
    </row>
    <row r="1073" spans="8:8" x14ac:dyDescent="0.25">
      <c r="H1073" s="25"/>
    </row>
    <row r="1074" spans="8:8" x14ac:dyDescent="0.25">
      <c r="H1074" s="25"/>
    </row>
    <row r="1075" spans="8:8" x14ac:dyDescent="0.25">
      <c r="H1075" s="25"/>
    </row>
    <row r="1076" spans="8:8" x14ac:dyDescent="0.25">
      <c r="H1076" s="25"/>
    </row>
    <row r="1077" spans="8:8" x14ac:dyDescent="0.25">
      <c r="H1077" s="25"/>
    </row>
    <row r="1078" spans="8:8" x14ac:dyDescent="0.25">
      <c r="H1078" s="25"/>
    </row>
    <row r="1079" spans="8:8" x14ac:dyDescent="0.25">
      <c r="H1079" s="25"/>
    </row>
    <row r="1080" spans="8:8" x14ac:dyDescent="0.25">
      <c r="H1080" s="25"/>
    </row>
    <row r="1081" spans="8:8" x14ac:dyDescent="0.25">
      <c r="H1081" s="25"/>
    </row>
    <row r="1082" spans="8:8" x14ac:dyDescent="0.25">
      <c r="H1082" s="25"/>
    </row>
    <row r="1083" spans="8:8" x14ac:dyDescent="0.25">
      <c r="H1083" s="25"/>
    </row>
    <row r="1084" spans="8:8" x14ac:dyDescent="0.25">
      <c r="H1084" s="25"/>
    </row>
    <row r="1085" spans="8:8" x14ac:dyDescent="0.25">
      <c r="H1085" s="25"/>
    </row>
    <row r="1086" spans="8:8" x14ac:dyDescent="0.25">
      <c r="H1086" s="25"/>
    </row>
    <row r="1087" spans="8:8" x14ac:dyDescent="0.25">
      <c r="H1087" s="25"/>
    </row>
    <row r="1088" spans="8:8" x14ac:dyDescent="0.25">
      <c r="H1088" s="25"/>
    </row>
    <row r="1089" spans="8:8" x14ac:dyDescent="0.25">
      <c r="H1089" s="25"/>
    </row>
    <row r="1090" spans="8:8" x14ac:dyDescent="0.25">
      <c r="H1090" s="25"/>
    </row>
    <row r="1091" spans="8:8" x14ac:dyDescent="0.25">
      <c r="H1091" s="25"/>
    </row>
    <row r="1092" spans="8:8" x14ac:dyDescent="0.25">
      <c r="H1092" s="25"/>
    </row>
    <row r="1093" spans="8:8" x14ac:dyDescent="0.25">
      <c r="H1093" s="25"/>
    </row>
    <row r="1094" spans="8:8" x14ac:dyDescent="0.25">
      <c r="H1094" s="25"/>
    </row>
    <row r="1095" spans="8:8" x14ac:dyDescent="0.25">
      <c r="H1095" s="25"/>
    </row>
    <row r="1096" spans="8:8" x14ac:dyDescent="0.25">
      <c r="H1096" s="25"/>
    </row>
    <row r="1097" spans="8:8" x14ac:dyDescent="0.25">
      <c r="H1097" s="25"/>
    </row>
    <row r="1098" spans="8:8" x14ac:dyDescent="0.25">
      <c r="H1098" s="25"/>
    </row>
    <row r="1099" spans="8:8" x14ac:dyDescent="0.25">
      <c r="H1099" s="25"/>
    </row>
    <row r="1100" spans="8:8" x14ac:dyDescent="0.25">
      <c r="H1100" s="25"/>
    </row>
    <row r="1101" spans="8:8" x14ac:dyDescent="0.25">
      <c r="H1101" s="25"/>
    </row>
    <row r="1102" spans="8:8" x14ac:dyDescent="0.25">
      <c r="H1102" s="25"/>
    </row>
    <row r="1103" spans="8:8" x14ac:dyDescent="0.25">
      <c r="H1103" s="25"/>
    </row>
    <row r="1104" spans="8:8" x14ac:dyDescent="0.25">
      <c r="H1104" s="25"/>
    </row>
    <row r="1105" spans="8:8" x14ac:dyDescent="0.25">
      <c r="H1105" s="25"/>
    </row>
    <row r="1106" spans="8:8" x14ac:dyDescent="0.25">
      <c r="H1106" s="25"/>
    </row>
    <row r="1107" spans="8:8" x14ac:dyDescent="0.25">
      <c r="H1107" s="25"/>
    </row>
    <row r="1108" spans="8:8" x14ac:dyDescent="0.25">
      <c r="H1108" s="25"/>
    </row>
    <row r="1109" spans="8:8" x14ac:dyDescent="0.25">
      <c r="H1109" s="25"/>
    </row>
    <row r="1110" spans="8:8" x14ac:dyDescent="0.25">
      <c r="H1110" s="25"/>
    </row>
    <row r="1111" spans="8:8" x14ac:dyDescent="0.25">
      <c r="H1111" s="25"/>
    </row>
    <row r="1112" spans="8:8" x14ac:dyDescent="0.25">
      <c r="H1112" s="25"/>
    </row>
    <row r="1113" spans="8:8" x14ac:dyDescent="0.25">
      <c r="H1113" s="25"/>
    </row>
    <row r="1114" spans="8:8" x14ac:dyDescent="0.25">
      <c r="H1114" s="25"/>
    </row>
    <row r="1115" spans="8:8" x14ac:dyDescent="0.25">
      <c r="H1115" s="25"/>
    </row>
    <row r="1116" spans="8:8" x14ac:dyDescent="0.25">
      <c r="H1116" s="25"/>
    </row>
    <row r="1117" spans="8:8" x14ac:dyDescent="0.25">
      <c r="H1117" s="25"/>
    </row>
    <row r="1118" spans="8:8" x14ac:dyDescent="0.25">
      <c r="H1118" s="25"/>
    </row>
    <row r="1119" spans="8:8" x14ac:dyDescent="0.25">
      <c r="H1119" s="25"/>
    </row>
    <row r="1120" spans="8:8" x14ac:dyDescent="0.25">
      <c r="H1120" s="25"/>
    </row>
    <row r="1121" spans="8:8" x14ac:dyDescent="0.25">
      <c r="H1121" s="25"/>
    </row>
    <row r="1122" spans="8:8" x14ac:dyDescent="0.25">
      <c r="H1122" s="25"/>
    </row>
    <row r="1123" spans="8:8" x14ac:dyDescent="0.25">
      <c r="H1123" s="25"/>
    </row>
    <row r="1124" spans="8:8" x14ac:dyDescent="0.25">
      <c r="H1124" s="25"/>
    </row>
    <row r="1125" spans="8:8" x14ac:dyDescent="0.25">
      <c r="H1125" s="25"/>
    </row>
    <row r="1126" spans="8:8" x14ac:dyDescent="0.25">
      <c r="H1126" s="25"/>
    </row>
    <row r="1127" spans="8:8" x14ac:dyDescent="0.25">
      <c r="H1127" s="25"/>
    </row>
    <row r="1128" spans="8:8" x14ac:dyDescent="0.25">
      <c r="H1128" s="25"/>
    </row>
    <row r="1129" spans="8:8" x14ac:dyDescent="0.25">
      <c r="H1129" s="25"/>
    </row>
    <row r="1130" spans="8:8" x14ac:dyDescent="0.25">
      <c r="H1130" s="25"/>
    </row>
    <row r="1131" spans="8:8" x14ac:dyDescent="0.25">
      <c r="H1131" s="25"/>
    </row>
    <row r="1132" spans="8:8" x14ac:dyDescent="0.25">
      <c r="H1132" s="25"/>
    </row>
    <row r="1133" spans="8:8" x14ac:dyDescent="0.25">
      <c r="H1133" s="25"/>
    </row>
    <row r="1134" spans="8:8" x14ac:dyDescent="0.25">
      <c r="H1134" s="25"/>
    </row>
    <row r="1135" spans="8:8" x14ac:dyDescent="0.25">
      <c r="H1135" s="25"/>
    </row>
    <row r="1136" spans="8:8" x14ac:dyDescent="0.25">
      <c r="H1136" s="25"/>
    </row>
    <row r="1137" spans="8:8" x14ac:dyDescent="0.25">
      <c r="H1137" s="25"/>
    </row>
    <row r="1138" spans="8:8" x14ac:dyDescent="0.25">
      <c r="H1138" s="25"/>
    </row>
    <row r="1139" spans="8:8" x14ac:dyDescent="0.25">
      <c r="H1139" s="25"/>
    </row>
    <row r="1140" spans="8:8" x14ac:dyDescent="0.25">
      <c r="H1140" s="25"/>
    </row>
    <row r="1141" spans="8:8" x14ac:dyDescent="0.25">
      <c r="H1141" s="25"/>
    </row>
    <row r="1142" spans="8:8" x14ac:dyDescent="0.25">
      <c r="H1142" s="25"/>
    </row>
    <row r="1143" spans="8:8" x14ac:dyDescent="0.25">
      <c r="H1143" s="25"/>
    </row>
    <row r="1144" spans="8:8" x14ac:dyDescent="0.25">
      <c r="H1144" s="25"/>
    </row>
    <row r="1145" spans="8:8" x14ac:dyDescent="0.25">
      <c r="H1145" s="25"/>
    </row>
    <row r="1146" spans="8:8" x14ac:dyDescent="0.25">
      <c r="H1146" s="25"/>
    </row>
    <row r="1147" spans="8:8" x14ac:dyDescent="0.25">
      <c r="H1147" s="25"/>
    </row>
    <row r="1148" spans="8:8" x14ac:dyDescent="0.25">
      <c r="H1148" s="25"/>
    </row>
    <row r="1149" spans="8:8" x14ac:dyDescent="0.25">
      <c r="H1149" s="25"/>
    </row>
    <row r="1150" spans="8:8" x14ac:dyDescent="0.25">
      <c r="H1150" s="25"/>
    </row>
    <row r="1151" spans="8:8" x14ac:dyDescent="0.25">
      <c r="H1151" s="25"/>
    </row>
    <row r="1152" spans="8:8" x14ac:dyDescent="0.25">
      <c r="H1152" s="25"/>
    </row>
    <row r="1153" spans="8:8" x14ac:dyDescent="0.25">
      <c r="H1153" s="25"/>
    </row>
    <row r="1154" spans="8:8" x14ac:dyDescent="0.25">
      <c r="H1154" s="25"/>
    </row>
    <row r="1155" spans="8:8" x14ac:dyDescent="0.25">
      <c r="H1155" s="25"/>
    </row>
    <row r="1156" spans="8:8" x14ac:dyDescent="0.25">
      <c r="H1156" s="25"/>
    </row>
    <row r="1157" spans="8:8" x14ac:dyDescent="0.25">
      <c r="H1157" s="25"/>
    </row>
    <row r="1158" spans="8:8" x14ac:dyDescent="0.25">
      <c r="H1158" s="25"/>
    </row>
    <row r="1159" spans="8:8" x14ac:dyDescent="0.25">
      <c r="H1159" s="25"/>
    </row>
    <row r="1160" spans="8:8" x14ac:dyDescent="0.25">
      <c r="H1160" s="25"/>
    </row>
    <row r="1161" spans="8:8" x14ac:dyDescent="0.25">
      <c r="H1161" s="25"/>
    </row>
    <row r="1162" spans="8:8" x14ac:dyDescent="0.25">
      <c r="H1162" s="25"/>
    </row>
    <row r="1163" spans="8:8" x14ac:dyDescent="0.25">
      <c r="H1163" s="25"/>
    </row>
    <row r="1164" spans="8:8" x14ac:dyDescent="0.25">
      <c r="H1164" s="25"/>
    </row>
    <row r="1165" spans="8:8" x14ac:dyDescent="0.25">
      <c r="H1165" s="25"/>
    </row>
    <row r="1166" spans="8:8" x14ac:dyDescent="0.25">
      <c r="H1166" s="25"/>
    </row>
    <row r="1167" spans="8:8" x14ac:dyDescent="0.25">
      <c r="H1167" s="25"/>
    </row>
    <row r="1168" spans="8:8" x14ac:dyDescent="0.25">
      <c r="H1168" s="25"/>
    </row>
    <row r="1169" spans="8:8" x14ac:dyDescent="0.25">
      <c r="H1169" s="25"/>
    </row>
    <row r="1170" spans="8:8" x14ac:dyDescent="0.25">
      <c r="H1170" s="25"/>
    </row>
    <row r="1171" spans="8:8" x14ac:dyDescent="0.25">
      <c r="H1171" s="25"/>
    </row>
    <row r="1172" spans="8:8" x14ac:dyDescent="0.25">
      <c r="H1172" s="25"/>
    </row>
    <row r="1173" spans="8:8" x14ac:dyDescent="0.25">
      <c r="H1173" s="25"/>
    </row>
    <row r="1174" spans="8:8" x14ac:dyDescent="0.25">
      <c r="H1174" s="25"/>
    </row>
    <row r="1175" spans="8:8" x14ac:dyDescent="0.25">
      <c r="H1175" s="25"/>
    </row>
    <row r="1176" spans="8:8" x14ac:dyDescent="0.25">
      <c r="H1176" s="25"/>
    </row>
    <row r="1177" spans="8:8" x14ac:dyDescent="0.25">
      <c r="H1177" s="25"/>
    </row>
    <row r="1178" spans="8:8" x14ac:dyDescent="0.25">
      <c r="H1178" s="25"/>
    </row>
    <row r="1179" spans="8:8" x14ac:dyDescent="0.25">
      <c r="H1179" s="25"/>
    </row>
    <row r="1180" spans="8:8" x14ac:dyDescent="0.25">
      <c r="H1180" s="25"/>
    </row>
    <row r="1181" spans="8:8" x14ac:dyDescent="0.25">
      <c r="H1181" s="25"/>
    </row>
    <row r="1182" spans="8:8" x14ac:dyDescent="0.25">
      <c r="H1182" s="25"/>
    </row>
    <row r="1183" spans="8:8" x14ac:dyDescent="0.25">
      <c r="H1183" s="25"/>
    </row>
    <row r="1184" spans="8:8" x14ac:dyDescent="0.25">
      <c r="H1184" s="25"/>
    </row>
    <row r="1185" spans="8:8" x14ac:dyDescent="0.25">
      <c r="H1185" s="25"/>
    </row>
    <row r="1186" spans="8:8" x14ac:dyDescent="0.25">
      <c r="H1186" s="25"/>
    </row>
    <row r="1187" spans="8:8" x14ac:dyDescent="0.25">
      <c r="H1187" s="25"/>
    </row>
    <row r="1188" spans="8:8" x14ac:dyDescent="0.25">
      <c r="H1188" s="25"/>
    </row>
    <row r="1189" spans="8:8" x14ac:dyDescent="0.25">
      <c r="H1189" s="25"/>
    </row>
    <row r="1190" spans="8:8" x14ac:dyDescent="0.25">
      <c r="H1190" s="25"/>
    </row>
    <row r="1191" spans="8:8" x14ac:dyDescent="0.25">
      <c r="H1191" s="25"/>
    </row>
    <row r="1192" spans="8:8" x14ac:dyDescent="0.25">
      <c r="H1192" s="25"/>
    </row>
    <row r="1193" spans="8:8" x14ac:dyDescent="0.25">
      <c r="H1193" s="25"/>
    </row>
    <row r="1194" spans="8:8" x14ac:dyDescent="0.25">
      <c r="H1194" s="25"/>
    </row>
    <row r="1195" spans="8:8" x14ac:dyDescent="0.25">
      <c r="H1195" s="25"/>
    </row>
    <row r="1196" spans="8:8" x14ac:dyDescent="0.25">
      <c r="H1196" s="25"/>
    </row>
    <row r="1197" spans="8:8" x14ac:dyDescent="0.25">
      <c r="H1197" s="25"/>
    </row>
    <row r="1198" spans="8:8" x14ac:dyDescent="0.25">
      <c r="H1198" s="25"/>
    </row>
    <row r="1199" spans="8:8" x14ac:dyDescent="0.25">
      <c r="H1199" s="25"/>
    </row>
    <row r="1200" spans="8:8" x14ac:dyDescent="0.25">
      <c r="H1200" s="25"/>
    </row>
    <row r="1201" spans="8:8" x14ac:dyDescent="0.25">
      <c r="H1201" s="25"/>
    </row>
    <row r="1202" spans="8:8" x14ac:dyDescent="0.25">
      <c r="H1202" s="25"/>
    </row>
    <row r="1203" spans="8:8" x14ac:dyDescent="0.25">
      <c r="H1203" s="25"/>
    </row>
    <row r="1204" spans="8:8" x14ac:dyDescent="0.25">
      <c r="H1204" s="25"/>
    </row>
    <row r="1205" spans="8:8" x14ac:dyDescent="0.25">
      <c r="H1205" s="25"/>
    </row>
    <row r="1206" spans="8:8" x14ac:dyDescent="0.25">
      <c r="H1206" s="25"/>
    </row>
    <row r="1207" spans="8:8" x14ac:dyDescent="0.25">
      <c r="H1207" s="25"/>
    </row>
    <row r="1208" spans="8:8" x14ac:dyDescent="0.25">
      <c r="H1208" s="25"/>
    </row>
    <row r="1209" spans="8:8" x14ac:dyDescent="0.25">
      <c r="H1209" s="25"/>
    </row>
    <row r="1210" spans="8:8" x14ac:dyDescent="0.25">
      <c r="H1210" s="25"/>
    </row>
    <row r="1211" spans="8:8" x14ac:dyDescent="0.25">
      <c r="H1211" s="25"/>
    </row>
    <row r="1212" spans="8:8" x14ac:dyDescent="0.25">
      <c r="H1212" s="25"/>
    </row>
    <row r="1213" spans="8:8" x14ac:dyDescent="0.25">
      <c r="H1213" s="25"/>
    </row>
    <row r="1214" spans="8:8" x14ac:dyDescent="0.25">
      <c r="H1214" s="25"/>
    </row>
    <row r="1215" spans="8:8" x14ac:dyDescent="0.25">
      <c r="H1215" s="25"/>
    </row>
    <row r="1216" spans="8:8" x14ac:dyDescent="0.25">
      <c r="H1216" s="25"/>
    </row>
    <row r="1217" spans="8:8" x14ac:dyDescent="0.25">
      <c r="H1217" s="25"/>
    </row>
    <row r="1218" spans="8:8" x14ac:dyDescent="0.25">
      <c r="H1218" s="25"/>
    </row>
    <row r="1219" spans="8:8" x14ac:dyDescent="0.25">
      <c r="H1219" s="25"/>
    </row>
    <row r="1220" spans="8:8" x14ac:dyDescent="0.25">
      <c r="H1220" s="25"/>
    </row>
    <row r="1221" spans="8:8" x14ac:dyDescent="0.25">
      <c r="H1221" s="25"/>
    </row>
    <row r="1222" spans="8:8" x14ac:dyDescent="0.25">
      <c r="H1222" s="25"/>
    </row>
    <row r="1223" spans="8:8" x14ac:dyDescent="0.25">
      <c r="H1223" s="25"/>
    </row>
    <row r="1224" spans="8:8" x14ac:dyDescent="0.25">
      <c r="H1224" s="25"/>
    </row>
    <row r="1225" spans="8:8" x14ac:dyDescent="0.25">
      <c r="H1225" s="25"/>
    </row>
    <row r="1226" spans="8:8" x14ac:dyDescent="0.25">
      <c r="H1226" s="25"/>
    </row>
    <row r="1227" spans="8:8" x14ac:dyDescent="0.25">
      <c r="H1227" s="25"/>
    </row>
    <row r="1228" spans="8:8" x14ac:dyDescent="0.25">
      <c r="H1228" s="25"/>
    </row>
    <row r="1229" spans="8:8" x14ac:dyDescent="0.25">
      <c r="H1229" s="25"/>
    </row>
    <row r="1230" spans="8:8" x14ac:dyDescent="0.25">
      <c r="H1230" s="25"/>
    </row>
    <row r="1231" spans="8:8" x14ac:dyDescent="0.25">
      <c r="H1231" s="25"/>
    </row>
    <row r="1232" spans="8:8" x14ac:dyDescent="0.25">
      <c r="H1232" s="25"/>
    </row>
    <row r="1233" spans="8:8" x14ac:dyDescent="0.25">
      <c r="H1233" s="25"/>
    </row>
    <row r="1234" spans="8:8" x14ac:dyDescent="0.25">
      <c r="H1234" s="25"/>
    </row>
    <row r="1235" spans="8:8" x14ac:dyDescent="0.25">
      <c r="H1235" s="25"/>
    </row>
    <row r="1236" spans="8:8" x14ac:dyDescent="0.25">
      <c r="H1236" s="25"/>
    </row>
    <row r="1237" spans="8:8" x14ac:dyDescent="0.25">
      <c r="H1237" s="25"/>
    </row>
    <row r="1238" spans="8:8" x14ac:dyDescent="0.25">
      <c r="H1238" s="25"/>
    </row>
    <row r="1239" spans="8:8" x14ac:dyDescent="0.25">
      <c r="H1239" s="25"/>
    </row>
    <row r="1240" spans="8:8" x14ac:dyDescent="0.25">
      <c r="H1240" s="25"/>
    </row>
    <row r="1241" spans="8:8" x14ac:dyDescent="0.25">
      <c r="H1241" s="25"/>
    </row>
    <row r="1242" spans="8:8" x14ac:dyDescent="0.25">
      <c r="H1242" s="25"/>
    </row>
    <row r="1243" spans="8:8" x14ac:dyDescent="0.25">
      <c r="H1243" s="25"/>
    </row>
    <row r="1244" spans="8:8" x14ac:dyDescent="0.25">
      <c r="H1244" s="25"/>
    </row>
    <row r="1245" spans="8:8" x14ac:dyDescent="0.25">
      <c r="H1245" s="25"/>
    </row>
    <row r="1246" spans="8:8" x14ac:dyDescent="0.25">
      <c r="H1246" s="25"/>
    </row>
    <row r="1247" spans="8:8" x14ac:dyDescent="0.25">
      <c r="H1247" s="25"/>
    </row>
    <row r="1248" spans="8:8" x14ac:dyDescent="0.25">
      <c r="H1248" s="25"/>
    </row>
    <row r="1249" spans="8:8" x14ac:dyDescent="0.25">
      <c r="H1249" s="25"/>
    </row>
    <row r="1250" spans="8:8" x14ac:dyDescent="0.25">
      <c r="H1250" s="25"/>
    </row>
    <row r="1251" spans="8:8" x14ac:dyDescent="0.25">
      <c r="H1251" s="25"/>
    </row>
    <row r="1252" spans="8:8" x14ac:dyDescent="0.25">
      <c r="H1252" s="25"/>
    </row>
    <row r="1253" spans="8:8" x14ac:dyDescent="0.25">
      <c r="H1253" s="25"/>
    </row>
    <row r="1254" spans="8:8" x14ac:dyDescent="0.25">
      <c r="H1254" s="25"/>
    </row>
    <row r="1255" spans="8:8" x14ac:dyDescent="0.25">
      <c r="H1255" s="25"/>
    </row>
    <row r="1256" spans="8:8" x14ac:dyDescent="0.25">
      <c r="H1256" s="25"/>
    </row>
    <row r="1257" spans="8:8" x14ac:dyDescent="0.25">
      <c r="H1257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9698F-B678-4675-8267-93ECC17FE4F1}">
  <sheetPr codeName="Sheet3"/>
  <dimension ref="A1:S1257"/>
  <sheetViews>
    <sheetView workbookViewId="0">
      <selection activeCell="D1" sqref="D1:D1048576"/>
    </sheetView>
  </sheetViews>
  <sheetFormatPr defaultRowHeight="13.2" x14ac:dyDescent="0.25"/>
  <cols>
    <col min="1" max="1" width="8" bestFit="1" customWidth="1"/>
    <col min="2" max="2" width="12.5546875" bestFit="1" customWidth="1"/>
    <col min="3" max="3" width="34.109375" bestFit="1" customWidth="1"/>
    <col min="4" max="4" width="14.88671875" customWidth="1"/>
    <col min="5" max="5" width="14.44140625" style="1" bestFit="1" customWidth="1"/>
    <col min="6" max="7" width="12.6640625" style="1" customWidth="1"/>
    <col min="8" max="8" width="12.6640625" customWidth="1"/>
    <col min="9" max="9" width="12.6640625" style="12" customWidth="1"/>
  </cols>
  <sheetData>
    <row r="1" spans="1:19" s="15" customFormat="1" x14ac:dyDescent="0.25">
      <c r="A1" s="17" t="s">
        <v>75</v>
      </c>
      <c r="B1" s="17" t="s">
        <v>27</v>
      </c>
      <c r="C1" s="17" t="s">
        <v>138</v>
      </c>
      <c r="D1" s="17" t="s">
        <v>142</v>
      </c>
      <c r="E1" s="17" t="s">
        <v>50</v>
      </c>
      <c r="F1" s="17" t="s">
        <v>64</v>
      </c>
      <c r="G1" s="17" t="s">
        <v>52</v>
      </c>
      <c r="H1" s="38" t="s">
        <v>140</v>
      </c>
      <c r="I1" s="18" t="s">
        <v>179</v>
      </c>
      <c r="J1" s="14"/>
      <c r="K1" s="14"/>
      <c r="L1" s="36"/>
      <c r="M1" s="14"/>
      <c r="N1" s="14"/>
      <c r="P1" s="14"/>
      <c r="R1" s="16"/>
      <c r="S1" s="16"/>
    </row>
    <row r="2" spans="1:19" x14ac:dyDescent="0.25">
      <c r="H2" s="25"/>
    </row>
    <row r="3" spans="1:19" x14ac:dyDescent="0.25">
      <c r="H3" s="25"/>
    </row>
    <row r="4" spans="1:19" x14ac:dyDescent="0.25">
      <c r="H4" s="25"/>
    </row>
    <row r="5" spans="1:19" x14ac:dyDescent="0.25">
      <c r="H5" s="25"/>
    </row>
    <row r="6" spans="1:19" x14ac:dyDescent="0.25">
      <c r="H6" s="25"/>
    </row>
    <row r="7" spans="1:19" x14ac:dyDescent="0.25">
      <c r="H7" s="25"/>
    </row>
    <row r="8" spans="1:19" x14ac:dyDescent="0.25">
      <c r="H8" s="25"/>
    </row>
    <row r="9" spans="1:19" x14ac:dyDescent="0.25">
      <c r="H9" s="25"/>
    </row>
    <row r="10" spans="1:19" x14ac:dyDescent="0.25">
      <c r="H10" s="25"/>
    </row>
    <row r="11" spans="1:19" x14ac:dyDescent="0.25">
      <c r="H11" s="25"/>
    </row>
    <row r="12" spans="1:19" x14ac:dyDescent="0.25">
      <c r="H12" s="25"/>
    </row>
    <row r="13" spans="1:19" x14ac:dyDescent="0.25">
      <c r="H13" s="25"/>
    </row>
    <row r="14" spans="1:19" x14ac:dyDescent="0.25">
      <c r="H14" s="25"/>
    </row>
    <row r="15" spans="1:19" x14ac:dyDescent="0.25">
      <c r="H15" s="25"/>
    </row>
    <row r="16" spans="1:19" x14ac:dyDescent="0.25">
      <c r="H16" s="25"/>
    </row>
    <row r="17" spans="3:8" x14ac:dyDescent="0.25">
      <c r="H17" s="25"/>
    </row>
    <row r="18" spans="3:8" x14ac:dyDescent="0.25">
      <c r="H18" s="25"/>
    </row>
    <row r="19" spans="3:8" x14ac:dyDescent="0.25">
      <c r="H19" s="25"/>
    </row>
    <row r="20" spans="3:8" x14ac:dyDescent="0.25">
      <c r="H20" s="25"/>
    </row>
    <row r="21" spans="3:8" x14ac:dyDescent="0.25">
      <c r="H21" s="25"/>
    </row>
    <row r="22" spans="3:8" x14ac:dyDescent="0.25">
      <c r="H22" s="25"/>
    </row>
    <row r="23" spans="3:8" x14ac:dyDescent="0.25">
      <c r="H23" s="25"/>
    </row>
    <row r="24" spans="3:8" x14ac:dyDescent="0.25">
      <c r="H24" s="25"/>
    </row>
    <row r="25" spans="3:8" x14ac:dyDescent="0.25">
      <c r="H25" s="25"/>
    </row>
    <row r="26" spans="3:8" x14ac:dyDescent="0.25">
      <c r="H26" s="25"/>
    </row>
    <row r="27" spans="3:8" x14ac:dyDescent="0.25">
      <c r="C27" s="37"/>
      <c r="D27" s="37"/>
      <c r="H27" s="25"/>
    </row>
    <row r="28" spans="3:8" x14ac:dyDescent="0.25">
      <c r="H28" s="25"/>
    </row>
    <row r="29" spans="3:8" x14ac:dyDescent="0.25">
      <c r="H29" s="25"/>
    </row>
    <row r="30" spans="3:8" x14ac:dyDescent="0.25">
      <c r="H30" s="25"/>
    </row>
    <row r="31" spans="3:8" x14ac:dyDescent="0.25">
      <c r="H31" s="25"/>
    </row>
    <row r="32" spans="3:8" x14ac:dyDescent="0.25">
      <c r="H32" s="25"/>
    </row>
    <row r="33" spans="8:8" x14ac:dyDescent="0.25">
      <c r="H33" s="25"/>
    </row>
    <row r="34" spans="8:8" x14ac:dyDescent="0.25">
      <c r="H34" s="25"/>
    </row>
    <row r="35" spans="8:8" x14ac:dyDescent="0.25">
      <c r="H35" s="25"/>
    </row>
    <row r="36" spans="8:8" x14ac:dyDescent="0.25">
      <c r="H36" s="25"/>
    </row>
    <row r="37" spans="8:8" x14ac:dyDescent="0.25">
      <c r="H37" s="25"/>
    </row>
    <row r="38" spans="8:8" x14ac:dyDescent="0.25">
      <c r="H38" s="25"/>
    </row>
    <row r="39" spans="8:8" x14ac:dyDescent="0.25">
      <c r="H39" s="25"/>
    </row>
    <row r="40" spans="8:8" x14ac:dyDescent="0.25">
      <c r="H40" s="25"/>
    </row>
    <row r="41" spans="8:8" x14ac:dyDescent="0.25">
      <c r="H41" s="25"/>
    </row>
    <row r="42" spans="8:8" x14ac:dyDescent="0.25">
      <c r="H42" s="25"/>
    </row>
    <row r="43" spans="8:8" x14ac:dyDescent="0.25">
      <c r="H43" s="25"/>
    </row>
    <row r="44" spans="8:8" x14ac:dyDescent="0.25">
      <c r="H44" s="25"/>
    </row>
    <row r="45" spans="8:8" x14ac:dyDescent="0.25">
      <c r="H45" s="25"/>
    </row>
    <row r="46" spans="8:8" x14ac:dyDescent="0.25">
      <c r="H46" s="25"/>
    </row>
    <row r="47" spans="8:8" x14ac:dyDescent="0.25">
      <c r="H47" s="25"/>
    </row>
    <row r="48" spans="8:8" x14ac:dyDescent="0.25">
      <c r="H48" s="25"/>
    </row>
    <row r="49" spans="8:8" x14ac:dyDescent="0.25">
      <c r="H49" s="25"/>
    </row>
    <row r="50" spans="8:8" x14ac:dyDescent="0.25">
      <c r="H50" s="25"/>
    </row>
    <row r="51" spans="8:8" x14ac:dyDescent="0.25">
      <c r="H51" s="25"/>
    </row>
    <row r="52" spans="8:8" x14ac:dyDescent="0.25">
      <c r="H52" s="25"/>
    </row>
    <row r="53" spans="8:8" x14ac:dyDescent="0.25">
      <c r="H53" s="25"/>
    </row>
    <row r="54" spans="8:8" x14ac:dyDescent="0.25">
      <c r="H54" s="25"/>
    </row>
    <row r="55" spans="8:8" x14ac:dyDescent="0.25">
      <c r="H55" s="25"/>
    </row>
    <row r="56" spans="8:8" x14ac:dyDescent="0.25">
      <c r="H56" s="25"/>
    </row>
    <row r="57" spans="8:8" x14ac:dyDescent="0.25">
      <c r="H57" s="25"/>
    </row>
    <row r="58" spans="8:8" x14ac:dyDescent="0.25">
      <c r="H58" s="25"/>
    </row>
    <row r="59" spans="8:8" x14ac:dyDescent="0.25">
      <c r="H59" s="25"/>
    </row>
    <row r="60" spans="8:8" x14ac:dyDescent="0.25">
      <c r="H60" s="25"/>
    </row>
    <row r="61" spans="8:8" x14ac:dyDescent="0.25">
      <c r="H61" s="25"/>
    </row>
    <row r="62" spans="8:8" x14ac:dyDescent="0.25">
      <c r="H62" s="25"/>
    </row>
    <row r="63" spans="8:8" x14ac:dyDescent="0.25">
      <c r="H63" s="25"/>
    </row>
    <row r="64" spans="8:8" x14ac:dyDescent="0.25">
      <c r="H64" s="25"/>
    </row>
    <row r="65" spans="8:8" x14ac:dyDescent="0.25">
      <c r="H65" s="25"/>
    </row>
    <row r="66" spans="8:8" x14ac:dyDescent="0.25">
      <c r="H66" s="25"/>
    </row>
    <row r="67" spans="8:8" x14ac:dyDescent="0.25">
      <c r="H67" s="25"/>
    </row>
    <row r="68" spans="8:8" x14ac:dyDescent="0.25">
      <c r="H68" s="25"/>
    </row>
    <row r="69" spans="8:8" x14ac:dyDescent="0.25">
      <c r="H69" s="25"/>
    </row>
    <row r="70" spans="8:8" x14ac:dyDescent="0.25">
      <c r="H70" s="25"/>
    </row>
    <row r="71" spans="8:8" x14ac:dyDescent="0.25">
      <c r="H71" s="25"/>
    </row>
    <row r="72" spans="8:8" x14ac:dyDescent="0.25">
      <c r="H72" s="25"/>
    </row>
    <row r="73" spans="8:8" x14ac:dyDescent="0.25">
      <c r="H73" s="25"/>
    </row>
    <row r="74" spans="8:8" x14ac:dyDescent="0.25">
      <c r="H74" s="25"/>
    </row>
    <row r="75" spans="8:8" x14ac:dyDescent="0.25">
      <c r="H75" s="25"/>
    </row>
    <row r="76" spans="8:8" x14ac:dyDescent="0.25">
      <c r="H76" s="25"/>
    </row>
    <row r="77" spans="8:8" x14ac:dyDescent="0.25">
      <c r="H77" s="25"/>
    </row>
    <row r="78" spans="8:8" x14ac:dyDescent="0.25">
      <c r="H78" s="25"/>
    </row>
    <row r="79" spans="8:8" x14ac:dyDescent="0.25">
      <c r="H79" s="25"/>
    </row>
    <row r="80" spans="8:8" x14ac:dyDescent="0.25">
      <c r="H80" s="25"/>
    </row>
    <row r="81" spans="8:8" x14ac:dyDescent="0.25">
      <c r="H81" s="25"/>
    </row>
    <row r="82" spans="8:8" x14ac:dyDescent="0.25">
      <c r="H82" s="25"/>
    </row>
    <row r="83" spans="8:8" x14ac:dyDescent="0.25">
      <c r="H83" s="25"/>
    </row>
    <row r="84" spans="8:8" x14ac:dyDescent="0.25">
      <c r="H84" s="25"/>
    </row>
    <row r="85" spans="8:8" x14ac:dyDescent="0.25">
      <c r="H85" s="25"/>
    </row>
    <row r="86" spans="8:8" x14ac:dyDescent="0.25">
      <c r="H86" s="25"/>
    </row>
    <row r="87" spans="8:8" x14ac:dyDescent="0.25">
      <c r="H87" s="25"/>
    </row>
    <row r="88" spans="8:8" x14ac:dyDescent="0.25">
      <c r="H88" s="25"/>
    </row>
    <row r="89" spans="8:8" x14ac:dyDescent="0.25">
      <c r="H89" s="25"/>
    </row>
    <row r="90" spans="8:8" x14ac:dyDescent="0.25">
      <c r="H90" s="25"/>
    </row>
    <row r="91" spans="8:8" x14ac:dyDescent="0.25">
      <c r="H91" s="25"/>
    </row>
    <row r="92" spans="8:8" x14ac:dyDescent="0.25">
      <c r="H92" s="25"/>
    </row>
    <row r="93" spans="8:8" x14ac:dyDescent="0.25">
      <c r="H93" s="25"/>
    </row>
    <row r="94" spans="8:8" x14ac:dyDescent="0.25">
      <c r="H94" s="25"/>
    </row>
    <row r="95" spans="8:8" x14ac:dyDescent="0.25">
      <c r="H95" s="25"/>
    </row>
    <row r="96" spans="8:8" x14ac:dyDescent="0.25">
      <c r="H96" s="25"/>
    </row>
    <row r="97" spans="8:8" x14ac:dyDescent="0.25">
      <c r="H97" s="25"/>
    </row>
    <row r="98" spans="8:8" x14ac:dyDescent="0.25">
      <c r="H98" s="25"/>
    </row>
    <row r="99" spans="8:8" x14ac:dyDescent="0.25">
      <c r="H99" s="25"/>
    </row>
    <row r="100" spans="8:8" x14ac:dyDescent="0.25">
      <c r="H100" s="25"/>
    </row>
    <row r="101" spans="8:8" x14ac:dyDescent="0.25">
      <c r="H101" s="25"/>
    </row>
    <row r="102" spans="8:8" x14ac:dyDescent="0.25">
      <c r="H102" s="25"/>
    </row>
    <row r="103" spans="8:8" x14ac:dyDescent="0.25">
      <c r="H103" s="25"/>
    </row>
    <row r="104" spans="8:8" x14ac:dyDescent="0.25">
      <c r="H104" s="25"/>
    </row>
    <row r="105" spans="8:8" x14ac:dyDescent="0.25">
      <c r="H105" s="25"/>
    </row>
    <row r="106" spans="8:8" x14ac:dyDescent="0.25">
      <c r="H106" s="25"/>
    </row>
    <row r="107" spans="8:8" x14ac:dyDescent="0.25">
      <c r="H107" s="25"/>
    </row>
    <row r="108" spans="8:8" x14ac:dyDescent="0.25">
      <c r="H108" s="25"/>
    </row>
    <row r="109" spans="8:8" x14ac:dyDescent="0.25">
      <c r="H109" s="25"/>
    </row>
    <row r="110" spans="8:8" x14ac:dyDescent="0.25">
      <c r="H110" s="25"/>
    </row>
    <row r="111" spans="8:8" x14ac:dyDescent="0.25">
      <c r="H111" s="25"/>
    </row>
    <row r="112" spans="8:8" x14ac:dyDescent="0.25">
      <c r="H112" s="25"/>
    </row>
    <row r="113" spans="8:8" x14ac:dyDescent="0.25">
      <c r="H113" s="25"/>
    </row>
    <row r="114" spans="8:8" x14ac:dyDescent="0.25">
      <c r="H114" s="25"/>
    </row>
    <row r="115" spans="8:8" x14ac:dyDescent="0.25">
      <c r="H115" s="25"/>
    </row>
    <row r="116" spans="8:8" x14ac:dyDescent="0.25">
      <c r="H116" s="25"/>
    </row>
    <row r="117" spans="8:8" x14ac:dyDescent="0.25">
      <c r="H117" s="25"/>
    </row>
    <row r="118" spans="8:8" x14ac:dyDescent="0.25">
      <c r="H118" s="25"/>
    </row>
    <row r="119" spans="8:8" x14ac:dyDescent="0.25">
      <c r="H119" s="25"/>
    </row>
    <row r="120" spans="8:8" x14ac:dyDescent="0.25">
      <c r="H120" s="25"/>
    </row>
    <row r="121" spans="8:8" x14ac:dyDescent="0.25">
      <c r="H121" s="25"/>
    </row>
    <row r="122" spans="8:8" x14ac:dyDescent="0.25">
      <c r="H122" s="25"/>
    </row>
    <row r="123" spans="8:8" x14ac:dyDescent="0.25">
      <c r="H123" s="25"/>
    </row>
    <row r="124" spans="8:8" x14ac:dyDescent="0.25">
      <c r="H124" s="25"/>
    </row>
    <row r="125" spans="8:8" x14ac:dyDescent="0.25">
      <c r="H125" s="25"/>
    </row>
    <row r="126" spans="8:8" x14ac:dyDescent="0.25">
      <c r="H126" s="25"/>
    </row>
    <row r="127" spans="8:8" x14ac:dyDescent="0.25">
      <c r="H127" s="25"/>
    </row>
    <row r="128" spans="8:8" x14ac:dyDescent="0.25">
      <c r="H128" s="25"/>
    </row>
    <row r="129" spans="8:8" x14ac:dyDescent="0.25">
      <c r="H129" s="25"/>
    </row>
    <row r="130" spans="8:8" x14ac:dyDescent="0.25">
      <c r="H130" s="25"/>
    </row>
    <row r="131" spans="8:8" x14ac:dyDescent="0.25">
      <c r="H131" s="25"/>
    </row>
    <row r="132" spans="8:8" x14ac:dyDescent="0.25">
      <c r="H132" s="25"/>
    </row>
    <row r="133" spans="8:8" x14ac:dyDescent="0.25">
      <c r="H133" s="25"/>
    </row>
    <row r="134" spans="8:8" x14ac:dyDescent="0.25">
      <c r="H134" s="25"/>
    </row>
    <row r="135" spans="8:8" x14ac:dyDescent="0.25">
      <c r="H135" s="25"/>
    </row>
    <row r="136" spans="8:8" x14ac:dyDescent="0.25">
      <c r="H136" s="25"/>
    </row>
    <row r="137" spans="8:8" x14ac:dyDescent="0.25">
      <c r="H137" s="25"/>
    </row>
    <row r="138" spans="8:8" x14ac:dyDescent="0.25">
      <c r="H138" s="25"/>
    </row>
    <row r="139" spans="8:8" x14ac:dyDescent="0.25">
      <c r="H139" s="25"/>
    </row>
    <row r="140" spans="8:8" x14ac:dyDescent="0.25">
      <c r="H140" s="25"/>
    </row>
    <row r="141" spans="8:8" x14ac:dyDescent="0.25">
      <c r="H141" s="25"/>
    </row>
    <row r="142" spans="8:8" x14ac:dyDescent="0.25">
      <c r="H142" s="25"/>
    </row>
    <row r="143" spans="8:8" x14ac:dyDescent="0.25">
      <c r="H143" s="25"/>
    </row>
    <row r="144" spans="8:8" x14ac:dyDescent="0.25">
      <c r="H144" s="25"/>
    </row>
    <row r="145" spans="8:8" x14ac:dyDescent="0.25">
      <c r="H145" s="25"/>
    </row>
    <row r="146" spans="8:8" x14ac:dyDescent="0.25">
      <c r="H146" s="25"/>
    </row>
    <row r="147" spans="8:8" x14ac:dyDescent="0.25">
      <c r="H147" s="25"/>
    </row>
    <row r="148" spans="8:8" x14ac:dyDescent="0.25">
      <c r="H148" s="25"/>
    </row>
    <row r="149" spans="8:8" x14ac:dyDescent="0.25">
      <c r="H149" s="25"/>
    </row>
    <row r="150" spans="8:8" x14ac:dyDescent="0.25">
      <c r="H150" s="25"/>
    </row>
    <row r="151" spans="8:8" x14ac:dyDescent="0.25">
      <c r="H151" s="25"/>
    </row>
    <row r="152" spans="8:8" x14ac:dyDescent="0.25">
      <c r="H152" s="25"/>
    </row>
    <row r="153" spans="8:8" x14ac:dyDescent="0.25">
      <c r="H153" s="25"/>
    </row>
    <row r="154" spans="8:8" x14ac:dyDescent="0.25">
      <c r="H154" s="25"/>
    </row>
    <row r="155" spans="8:8" x14ac:dyDescent="0.25">
      <c r="H155" s="25"/>
    </row>
    <row r="156" spans="8:8" x14ac:dyDescent="0.25">
      <c r="H156" s="25"/>
    </row>
    <row r="157" spans="8:8" x14ac:dyDescent="0.25">
      <c r="H157" s="25"/>
    </row>
    <row r="158" spans="8:8" x14ac:dyDescent="0.25">
      <c r="H158" s="25"/>
    </row>
    <row r="159" spans="8:8" x14ac:dyDescent="0.25">
      <c r="H159" s="25"/>
    </row>
    <row r="160" spans="8:8" x14ac:dyDescent="0.25">
      <c r="H160" s="25"/>
    </row>
    <row r="161" spans="8:8" x14ac:dyDescent="0.25">
      <c r="H161" s="25"/>
    </row>
    <row r="162" spans="8:8" x14ac:dyDescent="0.25">
      <c r="H162" s="25"/>
    </row>
    <row r="163" spans="8:8" x14ac:dyDescent="0.25">
      <c r="H163" s="25"/>
    </row>
    <row r="164" spans="8:8" x14ac:dyDescent="0.25">
      <c r="H164" s="25"/>
    </row>
    <row r="165" spans="8:8" x14ac:dyDescent="0.25">
      <c r="H165" s="25"/>
    </row>
    <row r="166" spans="8:8" x14ac:dyDescent="0.25">
      <c r="H166" s="25"/>
    </row>
    <row r="167" spans="8:8" x14ac:dyDescent="0.25">
      <c r="H167" s="25"/>
    </row>
    <row r="168" spans="8:8" x14ac:dyDescent="0.25">
      <c r="H168" s="25"/>
    </row>
    <row r="169" spans="8:8" x14ac:dyDescent="0.25">
      <c r="H169" s="25"/>
    </row>
    <row r="170" spans="8:8" x14ac:dyDescent="0.25">
      <c r="H170" s="25"/>
    </row>
    <row r="171" spans="8:8" x14ac:dyDescent="0.25">
      <c r="H171" s="25"/>
    </row>
    <row r="172" spans="8:8" x14ac:dyDescent="0.25">
      <c r="H172" s="25"/>
    </row>
    <row r="173" spans="8:8" x14ac:dyDescent="0.25">
      <c r="H173" s="25"/>
    </row>
    <row r="174" spans="8:8" x14ac:dyDescent="0.25">
      <c r="H174" s="25"/>
    </row>
    <row r="175" spans="8:8" x14ac:dyDescent="0.25">
      <c r="H175" s="25"/>
    </row>
    <row r="176" spans="8:8" x14ac:dyDescent="0.25">
      <c r="H176" s="25"/>
    </row>
    <row r="177" spans="8:8" x14ac:dyDescent="0.25">
      <c r="H177" s="25"/>
    </row>
    <row r="178" spans="8:8" x14ac:dyDescent="0.25">
      <c r="H178" s="25"/>
    </row>
    <row r="179" spans="8:8" x14ac:dyDescent="0.25">
      <c r="H179" s="25"/>
    </row>
    <row r="180" spans="8:8" x14ac:dyDescent="0.25">
      <c r="H180" s="25"/>
    </row>
    <row r="181" spans="8:8" x14ac:dyDescent="0.25">
      <c r="H181" s="25"/>
    </row>
    <row r="182" spans="8:8" x14ac:dyDescent="0.25">
      <c r="H182" s="25"/>
    </row>
    <row r="183" spans="8:8" x14ac:dyDescent="0.25">
      <c r="H183" s="25"/>
    </row>
    <row r="184" spans="8:8" x14ac:dyDescent="0.25">
      <c r="H184" s="25"/>
    </row>
    <row r="185" spans="8:8" x14ac:dyDescent="0.25">
      <c r="H185" s="25"/>
    </row>
    <row r="186" spans="8:8" x14ac:dyDescent="0.25">
      <c r="H186" s="25"/>
    </row>
    <row r="187" spans="8:8" x14ac:dyDescent="0.25">
      <c r="H187" s="25"/>
    </row>
    <row r="188" spans="8:8" x14ac:dyDescent="0.25">
      <c r="H188" s="25"/>
    </row>
    <row r="189" spans="8:8" x14ac:dyDescent="0.25">
      <c r="H189" s="25"/>
    </row>
    <row r="190" spans="8:8" x14ac:dyDescent="0.25">
      <c r="H190" s="25"/>
    </row>
    <row r="191" spans="8:8" x14ac:dyDescent="0.25">
      <c r="H191" s="25"/>
    </row>
    <row r="192" spans="8:8" x14ac:dyDescent="0.25">
      <c r="H192" s="25"/>
    </row>
    <row r="193" spans="8:8" x14ac:dyDescent="0.25">
      <c r="H193" s="25"/>
    </row>
    <row r="194" spans="8:8" x14ac:dyDescent="0.25">
      <c r="H194" s="25"/>
    </row>
    <row r="195" spans="8:8" x14ac:dyDescent="0.25">
      <c r="H195" s="25"/>
    </row>
    <row r="196" spans="8:8" x14ac:dyDescent="0.25">
      <c r="H196" s="25"/>
    </row>
    <row r="197" spans="8:8" x14ac:dyDescent="0.25">
      <c r="H197" s="25"/>
    </row>
    <row r="198" spans="8:8" x14ac:dyDescent="0.25">
      <c r="H198" s="25"/>
    </row>
    <row r="199" spans="8:8" x14ac:dyDescent="0.25">
      <c r="H199" s="25"/>
    </row>
    <row r="200" spans="8:8" x14ac:dyDescent="0.25">
      <c r="H200" s="25"/>
    </row>
    <row r="201" spans="8:8" x14ac:dyDescent="0.25">
      <c r="H201" s="25"/>
    </row>
    <row r="202" spans="8:8" x14ac:dyDescent="0.25">
      <c r="H202" s="25"/>
    </row>
    <row r="203" spans="8:8" x14ac:dyDescent="0.25">
      <c r="H203" s="25"/>
    </row>
    <row r="204" spans="8:8" x14ac:dyDescent="0.25">
      <c r="H204" s="25"/>
    </row>
    <row r="205" spans="8:8" x14ac:dyDescent="0.25">
      <c r="H205" s="25"/>
    </row>
    <row r="206" spans="8:8" x14ac:dyDescent="0.25">
      <c r="H206" s="25"/>
    </row>
    <row r="207" spans="8:8" x14ac:dyDescent="0.25">
      <c r="H207" s="25"/>
    </row>
    <row r="208" spans="8:8" x14ac:dyDescent="0.25">
      <c r="H208" s="25"/>
    </row>
    <row r="209" spans="8:8" x14ac:dyDescent="0.25">
      <c r="H209" s="25"/>
    </row>
    <row r="210" spans="8:8" x14ac:dyDescent="0.25">
      <c r="H210" s="25"/>
    </row>
    <row r="211" spans="8:8" x14ac:dyDescent="0.25">
      <c r="H211" s="25"/>
    </row>
    <row r="212" spans="8:8" x14ac:dyDescent="0.25">
      <c r="H212" s="25"/>
    </row>
    <row r="213" spans="8:8" x14ac:dyDescent="0.25">
      <c r="H213" s="25"/>
    </row>
    <row r="214" spans="8:8" x14ac:dyDescent="0.25">
      <c r="H214" s="25"/>
    </row>
    <row r="215" spans="8:8" x14ac:dyDescent="0.25">
      <c r="H215" s="25"/>
    </row>
    <row r="216" spans="8:8" x14ac:dyDescent="0.25">
      <c r="H216" s="25"/>
    </row>
    <row r="217" spans="8:8" x14ac:dyDescent="0.25">
      <c r="H217" s="25"/>
    </row>
    <row r="218" spans="8:8" x14ac:dyDescent="0.25">
      <c r="H218" s="25"/>
    </row>
    <row r="219" spans="8:8" x14ac:dyDescent="0.25">
      <c r="H219" s="25"/>
    </row>
    <row r="220" spans="8:8" x14ac:dyDescent="0.25">
      <c r="H220" s="25"/>
    </row>
    <row r="221" spans="8:8" x14ac:dyDescent="0.25">
      <c r="H221" s="25"/>
    </row>
    <row r="222" spans="8:8" x14ac:dyDescent="0.25">
      <c r="H222" s="25"/>
    </row>
    <row r="223" spans="8:8" x14ac:dyDescent="0.25">
      <c r="H223" s="25"/>
    </row>
    <row r="224" spans="8:8" x14ac:dyDescent="0.25">
      <c r="H224" s="25"/>
    </row>
    <row r="225" spans="8:8" x14ac:dyDescent="0.25">
      <c r="H225" s="25"/>
    </row>
    <row r="226" spans="8:8" x14ac:dyDescent="0.25">
      <c r="H226" s="25"/>
    </row>
    <row r="227" spans="8:8" x14ac:dyDescent="0.25">
      <c r="H227" s="25"/>
    </row>
    <row r="228" spans="8:8" x14ac:dyDescent="0.25">
      <c r="H228" s="25"/>
    </row>
    <row r="229" spans="8:8" x14ac:dyDescent="0.25">
      <c r="H229" s="25"/>
    </row>
    <row r="230" spans="8:8" x14ac:dyDescent="0.25">
      <c r="H230" s="25"/>
    </row>
    <row r="231" spans="8:8" x14ac:dyDescent="0.25">
      <c r="H231" s="25"/>
    </row>
    <row r="232" spans="8:8" x14ac:dyDescent="0.25">
      <c r="H232" s="25"/>
    </row>
    <row r="233" spans="8:8" x14ac:dyDescent="0.25">
      <c r="H233" s="25"/>
    </row>
    <row r="234" spans="8:8" x14ac:dyDescent="0.25">
      <c r="H234" s="25"/>
    </row>
    <row r="235" spans="8:8" x14ac:dyDescent="0.25">
      <c r="H235" s="25"/>
    </row>
    <row r="236" spans="8:8" x14ac:dyDescent="0.25">
      <c r="H236" s="25"/>
    </row>
    <row r="237" spans="8:8" x14ac:dyDescent="0.25">
      <c r="H237" s="25"/>
    </row>
    <row r="238" spans="8:8" x14ac:dyDescent="0.25">
      <c r="H238" s="25"/>
    </row>
    <row r="239" spans="8:8" x14ac:dyDescent="0.25">
      <c r="H239" s="25"/>
    </row>
    <row r="240" spans="8:8" x14ac:dyDescent="0.25">
      <c r="H240" s="25"/>
    </row>
    <row r="241" spans="8:8" x14ac:dyDescent="0.25">
      <c r="H241" s="25"/>
    </row>
    <row r="242" spans="8:8" x14ac:dyDescent="0.25">
      <c r="H242" s="25"/>
    </row>
    <row r="243" spans="8:8" x14ac:dyDescent="0.25">
      <c r="H243" s="25"/>
    </row>
    <row r="244" spans="8:8" x14ac:dyDescent="0.25">
      <c r="H244" s="25"/>
    </row>
    <row r="245" spans="8:8" x14ac:dyDescent="0.25">
      <c r="H245" s="25"/>
    </row>
    <row r="246" spans="8:8" x14ac:dyDescent="0.25">
      <c r="H246" s="25"/>
    </row>
    <row r="247" spans="8:8" x14ac:dyDescent="0.25">
      <c r="H247" s="25"/>
    </row>
    <row r="248" spans="8:8" x14ac:dyDescent="0.25">
      <c r="H248" s="25"/>
    </row>
    <row r="249" spans="8:8" x14ac:dyDescent="0.25">
      <c r="H249" s="25"/>
    </row>
    <row r="250" spans="8:8" x14ac:dyDescent="0.25">
      <c r="H250" s="25"/>
    </row>
    <row r="251" spans="8:8" x14ac:dyDescent="0.25">
      <c r="H251" s="25"/>
    </row>
    <row r="252" spans="8:8" x14ac:dyDescent="0.25">
      <c r="H252" s="25"/>
    </row>
    <row r="253" spans="8:8" x14ac:dyDescent="0.25">
      <c r="H253" s="25"/>
    </row>
    <row r="254" spans="8:8" x14ac:dyDescent="0.25">
      <c r="H254" s="25"/>
    </row>
    <row r="255" spans="8:8" x14ac:dyDescent="0.25">
      <c r="H255" s="25"/>
    </row>
    <row r="256" spans="8:8" x14ac:dyDescent="0.25">
      <c r="H256" s="25"/>
    </row>
    <row r="257" spans="8:8" x14ac:dyDescent="0.25">
      <c r="H257" s="25"/>
    </row>
    <row r="258" spans="8:8" x14ac:dyDescent="0.25">
      <c r="H258" s="25"/>
    </row>
    <row r="259" spans="8:8" x14ac:dyDescent="0.25">
      <c r="H259" s="25"/>
    </row>
    <row r="260" spans="8:8" x14ac:dyDescent="0.25">
      <c r="H260" s="25"/>
    </row>
    <row r="261" spans="8:8" x14ac:dyDescent="0.25">
      <c r="H261" s="25"/>
    </row>
    <row r="262" spans="8:8" x14ac:dyDescent="0.25">
      <c r="H262" s="25"/>
    </row>
    <row r="263" spans="8:8" x14ac:dyDescent="0.25">
      <c r="H263" s="25"/>
    </row>
    <row r="264" spans="8:8" x14ac:dyDescent="0.25">
      <c r="H264" s="25"/>
    </row>
    <row r="265" spans="8:8" x14ac:dyDescent="0.25">
      <c r="H265" s="25"/>
    </row>
    <row r="266" spans="8:8" x14ac:dyDescent="0.25">
      <c r="H266" s="25"/>
    </row>
    <row r="267" spans="8:8" x14ac:dyDescent="0.25">
      <c r="H267" s="25"/>
    </row>
    <row r="268" spans="8:8" x14ac:dyDescent="0.25">
      <c r="H268" s="25"/>
    </row>
    <row r="269" spans="8:8" x14ac:dyDescent="0.25">
      <c r="H269" s="25"/>
    </row>
    <row r="270" spans="8:8" x14ac:dyDescent="0.25">
      <c r="H270" s="25"/>
    </row>
    <row r="271" spans="8:8" x14ac:dyDescent="0.25">
      <c r="H271" s="25"/>
    </row>
    <row r="272" spans="8:8" x14ac:dyDescent="0.25">
      <c r="H272" s="25"/>
    </row>
    <row r="273" spans="8:8" x14ac:dyDescent="0.25">
      <c r="H273" s="25"/>
    </row>
    <row r="274" spans="8:8" x14ac:dyDescent="0.25">
      <c r="H274" s="25"/>
    </row>
    <row r="275" spans="8:8" x14ac:dyDescent="0.25">
      <c r="H275" s="25"/>
    </row>
    <row r="276" spans="8:8" x14ac:dyDescent="0.25">
      <c r="H276" s="25"/>
    </row>
    <row r="277" spans="8:8" x14ac:dyDescent="0.25">
      <c r="H277" s="25"/>
    </row>
    <row r="278" spans="8:8" x14ac:dyDescent="0.25">
      <c r="H278" s="25"/>
    </row>
    <row r="279" spans="8:8" x14ac:dyDescent="0.25">
      <c r="H279" s="25"/>
    </row>
    <row r="280" spans="8:8" x14ac:dyDescent="0.25">
      <c r="H280" s="25"/>
    </row>
    <row r="281" spans="8:8" x14ac:dyDescent="0.25">
      <c r="H281" s="25"/>
    </row>
    <row r="282" spans="8:8" x14ac:dyDescent="0.25">
      <c r="H282" s="25"/>
    </row>
    <row r="283" spans="8:8" x14ac:dyDescent="0.25">
      <c r="H283" s="25"/>
    </row>
    <row r="284" spans="8:8" x14ac:dyDescent="0.25">
      <c r="H284" s="25"/>
    </row>
    <row r="285" spans="8:8" x14ac:dyDescent="0.25">
      <c r="H285" s="25"/>
    </row>
    <row r="286" spans="8:8" x14ac:dyDescent="0.25">
      <c r="H286" s="25"/>
    </row>
    <row r="287" spans="8:8" x14ac:dyDescent="0.25">
      <c r="H287" s="25"/>
    </row>
    <row r="288" spans="8:8" x14ac:dyDescent="0.25">
      <c r="H288" s="25"/>
    </row>
    <row r="289" spans="8:8" x14ac:dyDescent="0.25">
      <c r="H289" s="25"/>
    </row>
    <row r="290" spans="8:8" x14ac:dyDescent="0.25">
      <c r="H290" s="25"/>
    </row>
    <row r="291" spans="8:8" x14ac:dyDescent="0.25">
      <c r="H291" s="25"/>
    </row>
    <row r="292" spans="8:8" x14ac:dyDescent="0.25">
      <c r="H292" s="25"/>
    </row>
    <row r="293" spans="8:8" x14ac:dyDescent="0.25">
      <c r="H293" s="25"/>
    </row>
    <row r="294" spans="8:8" x14ac:dyDescent="0.25">
      <c r="H294" s="25"/>
    </row>
    <row r="295" spans="8:8" x14ac:dyDescent="0.25">
      <c r="H295" s="25"/>
    </row>
    <row r="296" spans="8:8" x14ac:dyDescent="0.25">
      <c r="H296" s="25"/>
    </row>
    <row r="297" spans="8:8" x14ac:dyDescent="0.25">
      <c r="H297" s="25"/>
    </row>
    <row r="298" spans="8:8" x14ac:dyDescent="0.25">
      <c r="H298" s="25"/>
    </row>
    <row r="299" spans="8:8" x14ac:dyDescent="0.25">
      <c r="H299" s="25"/>
    </row>
    <row r="300" spans="8:8" x14ac:dyDescent="0.25">
      <c r="H300" s="25"/>
    </row>
    <row r="301" spans="8:8" x14ac:dyDescent="0.25">
      <c r="H301" s="25"/>
    </row>
    <row r="302" spans="8:8" x14ac:dyDescent="0.25">
      <c r="H302" s="25"/>
    </row>
    <row r="303" spans="8:8" x14ac:dyDescent="0.25">
      <c r="H303" s="25"/>
    </row>
    <row r="304" spans="8:8" x14ac:dyDescent="0.25">
      <c r="H304" s="25"/>
    </row>
    <row r="305" spans="8:8" x14ac:dyDescent="0.25">
      <c r="H305" s="25"/>
    </row>
    <row r="306" spans="8:8" x14ac:dyDescent="0.25">
      <c r="H306" s="25"/>
    </row>
    <row r="307" spans="8:8" x14ac:dyDescent="0.25">
      <c r="H307" s="25"/>
    </row>
    <row r="308" spans="8:8" x14ac:dyDescent="0.25">
      <c r="H308" s="25"/>
    </row>
    <row r="309" spans="8:8" x14ac:dyDescent="0.25">
      <c r="H309" s="25"/>
    </row>
    <row r="310" spans="8:8" x14ac:dyDescent="0.25">
      <c r="H310" s="25"/>
    </row>
    <row r="311" spans="8:8" x14ac:dyDescent="0.25">
      <c r="H311" s="25"/>
    </row>
    <row r="312" spans="8:8" x14ac:dyDescent="0.25">
      <c r="H312" s="25"/>
    </row>
    <row r="313" spans="8:8" x14ac:dyDescent="0.25">
      <c r="H313" s="25"/>
    </row>
    <row r="314" spans="8:8" x14ac:dyDescent="0.25">
      <c r="H314" s="25"/>
    </row>
    <row r="315" spans="8:8" x14ac:dyDescent="0.25">
      <c r="H315" s="25"/>
    </row>
    <row r="316" spans="8:8" x14ac:dyDescent="0.25">
      <c r="H316" s="25"/>
    </row>
    <row r="317" spans="8:8" x14ac:dyDescent="0.25">
      <c r="H317" s="25"/>
    </row>
    <row r="318" spans="8:8" x14ac:dyDescent="0.25">
      <c r="H318" s="25"/>
    </row>
    <row r="319" spans="8:8" x14ac:dyDescent="0.25">
      <c r="H319" s="25"/>
    </row>
    <row r="320" spans="8:8" x14ac:dyDescent="0.25">
      <c r="H320" s="25"/>
    </row>
    <row r="321" spans="8:8" x14ac:dyDescent="0.25">
      <c r="H321" s="25"/>
    </row>
    <row r="322" spans="8:8" x14ac:dyDescent="0.25">
      <c r="H322" s="25"/>
    </row>
    <row r="323" spans="8:8" x14ac:dyDescent="0.25">
      <c r="H323" s="25"/>
    </row>
    <row r="324" spans="8:8" x14ac:dyDescent="0.25">
      <c r="H324" s="25"/>
    </row>
    <row r="325" spans="8:8" x14ac:dyDescent="0.25">
      <c r="H325" s="25"/>
    </row>
    <row r="326" spans="8:8" x14ac:dyDescent="0.25">
      <c r="H326" s="25"/>
    </row>
    <row r="327" spans="8:8" x14ac:dyDescent="0.25">
      <c r="H327" s="25"/>
    </row>
    <row r="328" spans="8:8" x14ac:dyDescent="0.25">
      <c r="H328" s="25"/>
    </row>
    <row r="329" spans="8:8" x14ac:dyDescent="0.25">
      <c r="H329" s="25"/>
    </row>
    <row r="330" spans="8:8" x14ac:dyDescent="0.25">
      <c r="H330" s="25"/>
    </row>
    <row r="331" spans="8:8" x14ac:dyDescent="0.25">
      <c r="H331" s="25"/>
    </row>
    <row r="332" spans="8:8" x14ac:dyDescent="0.25">
      <c r="H332" s="25"/>
    </row>
    <row r="333" spans="8:8" x14ac:dyDescent="0.25">
      <c r="H333" s="25"/>
    </row>
    <row r="334" spans="8:8" x14ac:dyDescent="0.25">
      <c r="H334" s="25"/>
    </row>
    <row r="335" spans="8:8" x14ac:dyDescent="0.25">
      <c r="H335" s="25"/>
    </row>
    <row r="336" spans="8:8" x14ac:dyDescent="0.25">
      <c r="H336" s="25"/>
    </row>
    <row r="337" spans="8:8" x14ac:dyDescent="0.25">
      <c r="H337" s="25"/>
    </row>
    <row r="338" spans="8:8" x14ac:dyDescent="0.25">
      <c r="H338" s="25"/>
    </row>
    <row r="339" spans="8:8" x14ac:dyDescent="0.25">
      <c r="H339" s="25"/>
    </row>
    <row r="340" spans="8:8" x14ac:dyDescent="0.25">
      <c r="H340" s="25"/>
    </row>
    <row r="341" spans="8:8" x14ac:dyDescent="0.25">
      <c r="H341" s="25"/>
    </row>
    <row r="342" spans="8:8" x14ac:dyDescent="0.25">
      <c r="H342" s="25"/>
    </row>
    <row r="343" spans="8:8" x14ac:dyDescent="0.25">
      <c r="H343" s="25"/>
    </row>
    <row r="344" spans="8:8" x14ac:dyDescent="0.25">
      <c r="H344" s="25"/>
    </row>
    <row r="345" spans="8:8" x14ac:dyDescent="0.25">
      <c r="H345" s="25"/>
    </row>
    <row r="346" spans="8:8" x14ac:dyDescent="0.25">
      <c r="H346" s="25"/>
    </row>
    <row r="347" spans="8:8" x14ac:dyDescent="0.25">
      <c r="H347" s="25"/>
    </row>
    <row r="348" spans="8:8" x14ac:dyDescent="0.25">
      <c r="H348" s="25"/>
    </row>
    <row r="349" spans="8:8" x14ac:dyDescent="0.25">
      <c r="H349" s="25"/>
    </row>
    <row r="350" spans="8:8" x14ac:dyDescent="0.25">
      <c r="H350" s="25"/>
    </row>
    <row r="351" spans="8:8" x14ac:dyDescent="0.25">
      <c r="H351" s="25"/>
    </row>
    <row r="352" spans="8:8" x14ac:dyDescent="0.25">
      <c r="H352" s="25"/>
    </row>
    <row r="353" spans="8:8" x14ac:dyDescent="0.25">
      <c r="H353" s="25"/>
    </row>
    <row r="354" spans="8:8" x14ac:dyDescent="0.25">
      <c r="H354" s="25"/>
    </row>
    <row r="355" spans="8:8" x14ac:dyDescent="0.25">
      <c r="H355" s="25"/>
    </row>
    <row r="356" spans="8:8" x14ac:dyDescent="0.25">
      <c r="H356" s="25"/>
    </row>
    <row r="357" spans="8:8" x14ac:dyDescent="0.25">
      <c r="H357" s="25"/>
    </row>
    <row r="358" spans="8:8" x14ac:dyDescent="0.25">
      <c r="H358" s="25"/>
    </row>
    <row r="359" spans="8:8" x14ac:dyDescent="0.25">
      <c r="H359" s="25"/>
    </row>
    <row r="360" spans="8:8" x14ac:dyDescent="0.25">
      <c r="H360" s="25"/>
    </row>
    <row r="361" spans="8:8" x14ac:dyDescent="0.25">
      <c r="H361" s="25"/>
    </row>
    <row r="362" spans="8:8" x14ac:dyDescent="0.25">
      <c r="H362" s="25"/>
    </row>
    <row r="363" spans="8:8" x14ac:dyDescent="0.25">
      <c r="H363" s="25"/>
    </row>
    <row r="364" spans="8:8" x14ac:dyDescent="0.25">
      <c r="H364" s="25"/>
    </row>
    <row r="365" spans="8:8" x14ac:dyDescent="0.25">
      <c r="H365" s="25"/>
    </row>
    <row r="366" spans="8:8" x14ac:dyDescent="0.25">
      <c r="H366" s="25"/>
    </row>
    <row r="367" spans="8:8" x14ac:dyDescent="0.25">
      <c r="H367" s="25"/>
    </row>
    <row r="368" spans="8:8" x14ac:dyDescent="0.25">
      <c r="H368" s="25"/>
    </row>
    <row r="369" spans="8:8" x14ac:dyDescent="0.25">
      <c r="H369" s="25"/>
    </row>
    <row r="370" spans="8:8" x14ac:dyDescent="0.25">
      <c r="H370" s="25"/>
    </row>
    <row r="371" spans="8:8" x14ac:dyDescent="0.25">
      <c r="H371" s="25"/>
    </row>
    <row r="372" spans="8:8" x14ac:dyDescent="0.25">
      <c r="H372" s="25"/>
    </row>
    <row r="373" spans="8:8" x14ac:dyDescent="0.25">
      <c r="H373" s="25"/>
    </row>
    <row r="374" spans="8:8" x14ac:dyDescent="0.25">
      <c r="H374" s="25"/>
    </row>
    <row r="375" spans="8:8" x14ac:dyDescent="0.25">
      <c r="H375" s="25"/>
    </row>
    <row r="376" spans="8:8" x14ac:dyDescent="0.25">
      <c r="H376" s="25"/>
    </row>
    <row r="377" spans="8:8" x14ac:dyDescent="0.25">
      <c r="H377" s="25"/>
    </row>
    <row r="378" spans="8:8" x14ac:dyDescent="0.25">
      <c r="H378" s="25"/>
    </row>
    <row r="379" spans="8:8" x14ac:dyDescent="0.25">
      <c r="H379" s="25"/>
    </row>
    <row r="380" spans="8:8" x14ac:dyDescent="0.25">
      <c r="H380" s="25"/>
    </row>
    <row r="381" spans="8:8" x14ac:dyDescent="0.25">
      <c r="H381" s="25"/>
    </row>
    <row r="382" spans="8:8" x14ac:dyDescent="0.25">
      <c r="H382" s="25"/>
    </row>
    <row r="383" spans="8:8" x14ac:dyDescent="0.25">
      <c r="H383" s="25"/>
    </row>
    <row r="384" spans="8:8" x14ac:dyDescent="0.25">
      <c r="H384" s="25"/>
    </row>
    <row r="385" spans="8:8" x14ac:dyDescent="0.25">
      <c r="H385" s="25"/>
    </row>
    <row r="386" spans="8:8" x14ac:dyDescent="0.25">
      <c r="H386" s="25"/>
    </row>
    <row r="387" spans="8:8" x14ac:dyDescent="0.25">
      <c r="H387" s="25"/>
    </row>
    <row r="388" spans="8:8" x14ac:dyDescent="0.25">
      <c r="H388" s="25"/>
    </row>
    <row r="389" spans="8:8" x14ac:dyDescent="0.25">
      <c r="H389" s="25"/>
    </row>
    <row r="390" spans="8:8" x14ac:dyDescent="0.25">
      <c r="H390" s="25"/>
    </row>
    <row r="391" spans="8:8" x14ac:dyDescent="0.25">
      <c r="H391" s="25"/>
    </row>
    <row r="392" spans="8:8" x14ac:dyDescent="0.25">
      <c r="H392" s="25"/>
    </row>
    <row r="393" spans="8:8" x14ac:dyDescent="0.25">
      <c r="H393" s="25"/>
    </row>
    <row r="394" spans="8:8" x14ac:dyDescent="0.25">
      <c r="H394" s="25"/>
    </row>
    <row r="395" spans="8:8" x14ac:dyDescent="0.25">
      <c r="H395" s="25"/>
    </row>
    <row r="396" spans="8:8" x14ac:dyDescent="0.25">
      <c r="H396" s="25"/>
    </row>
    <row r="397" spans="8:8" x14ac:dyDescent="0.25">
      <c r="H397" s="25"/>
    </row>
    <row r="398" spans="8:8" x14ac:dyDescent="0.25">
      <c r="H398" s="25"/>
    </row>
    <row r="399" spans="8:8" x14ac:dyDescent="0.25">
      <c r="H399" s="25"/>
    </row>
    <row r="400" spans="8:8" x14ac:dyDescent="0.25">
      <c r="H400" s="25"/>
    </row>
    <row r="401" spans="8:8" x14ac:dyDescent="0.25">
      <c r="H401" s="25"/>
    </row>
    <row r="402" spans="8:8" x14ac:dyDescent="0.25">
      <c r="H402" s="25"/>
    </row>
    <row r="403" spans="8:8" x14ac:dyDescent="0.25">
      <c r="H403" s="25"/>
    </row>
    <row r="404" spans="8:8" x14ac:dyDescent="0.25">
      <c r="H404" s="25"/>
    </row>
    <row r="405" spans="8:8" x14ac:dyDescent="0.25">
      <c r="H405" s="25"/>
    </row>
    <row r="406" spans="8:8" x14ac:dyDescent="0.25">
      <c r="H406" s="25"/>
    </row>
    <row r="407" spans="8:8" x14ac:dyDescent="0.25">
      <c r="H407" s="25"/>
    </row>
    <row r="408" spans="8:8" x14ac:dyDescent="0.25">
      <c r="H408" s="25"/>
    </row>
    <row r="409" spans="8:8" x14ac:dyDescent="0.25">
      <c r="H409" s="25"/>
    </row>
    <row r="410" spans="8:8" x14ac:dyDescent="0.25">
      <c r="H410" s="25"/>
    </row>
    <row r="411" spans="8:8" x14ac:dyDescent="0.25">
      <c r="H411" s="25"/>
    </row>
    <row r="412" spans="8:8" x14ac:dyDescent="0.25">
      <c r="H412" s="25"/>
    </row>
    <row r="413" spans="8:8" x14ac:dyDescent="0.25">
      <c r="H413" s="25"/>
    </row>
    <row r="414" spans="8:8" x14ac:dyDescent="0.25">
      <c r="H414" s="25"/>
    </row>
    <row r="415" spans="8:8" x14ac:dyDescent="0.25">
      <c r="H415" s="25"/>
    </row>
    <row r="416" spans="8:8" x14ac:dyDescent="0.25">
      <c r="H416" s="25"/>
    </row>
    <row r="417" spans="8:8" x14ac:dyDescent="0.25">
      <c r="H417" s="25"/>
    </row>
    <row r="418" spans="8:8" x14ac:dyDescent="0.25">
      <c r="H418" s="25"/>
    </row>
    <row r="419" spans="8:8" x14ac:dyDescent="0.25">
      <c r="H419" s="25"/>
    </row>
    <row r="420" spans="8:8" x14ac:dyDescent="0.25">
      <c r="H420" s="25"/>
    </row>
    <row r="421" spans="8:8" x14ac:dyDescent="0.25">
      <c r="H421" s="25"/>
    </row>
    <row r="422" spans="8:8" x14ac:dyDescent="0.25">
      <c r="H422" s="25"/>
    </row>
    <row r="423" spans="8:8" x14ac:dyDescent="0.25">
      <c r="H423" s="25"/>
    </row>
    <row r="424" spans="8:8" x14ac:dyDescent="0.25">
      <c r="H424" s="25"/>
    </row>
    <row r="425" spans="8:8" x14ac:dyDescent="0.25">
      <c r="H425" s="25"/>
    </row>
    <row r="426" spans="8:8" x14ac:dyDescent="0.25">
      <c r="H426" s="25"/>
    </row>
    <row r="427" spans="8:8" x14ac:dyDescent="0.25">
      <c r="H427" s="25"/>
    </row>
    <row r="428" spans="8:8" x14ac:dyDescent="0.25">
      <c r="H428" s="25"/>
    </row>
    <row r="429" spans="8:8" x14ac:dyDescent="0.25">
      <c r="H429" s="25"/>
    </row>
    <row r="430" spans="8:8" x14ac:dyDescent="0.25">
      <c r="H430" s="25"/>
    </row>
    <row r="431" spans="8:8" x14ac:dyDescent="0.25">
      <c r="H431" s="25"/>
    </row>
    <row r="432" spans="8:8" x14ac:dyDescent="0.25">
      <c r="H432" s="25"/>
    </row>
    <row r="433" spans="8:8" x14ac:dyDescent="0.25">
      <c r="H433" s="25"/>
    </row>
    <row r="434" spans="8:8" x14ac:dyDescent="0.25">
      <c r="H434" s="25"/>
    </row>
    <row r="435" spans="8:8" x14ac:dyDescent="0.25">
      <c r="H435" s="25"/>
    </row>
    <row r="436" spans="8:8" x14ac:dyDescent="0.25">
      <c r="H436" s="25"/>
    </row>
    <row r="437" spans="8:8" x14ac:dyDescent="0.25">
      <c r="H437" s="25"/>
    </row>
    <row r="438" spans="8:8" x14ac:dyDescent="0.25">
      <c r="H438" s="25"/>
    </row>
    <row r="439" spans="8:8" x14ac:dyDescent="0.25">
      <c r="H439" s="25"/>
    </row>
    <row r="440" spans="8:8" x14ac:dyDescent="0.25">
      <c r="H440" s="25"/>
    </row>
    <row r="441" spans="8:8" x14ac:dyDescent="0.25">
      <c r="H441" s="25"/>
    </row>
    <row r="442" spans="8:8" x14ac:dyDescent="0.25">
      <c r="H442" s="25"/>
    </row>
    <row r="443" spans="8:8" x14ac:dyDescent="0.25">
      <c r="H443" s="25"/>
    </row>
    <row r="444" spans="8:8" x14ac:dyDescent="0.25">
      <c r="H444" s="25"/>
    </row>
    <row r="445" spans="8:8" x14ac:dyDescent="0.25">
      <c r="H445" s="25"/>
    </row>
    <row r="446" spans="8:8" x14ac:dyDescent="0.25">
      <c r="H446" s="25"/>
    </row>
    <row r="447" spans="8:8" x14ac:dyDescent="0.25">
      <c r="H447" s="25"/>
    </row>
    <row r="448" spans="8:8" x14ac:dyDescent="0.25">
      <c r="H448" s="25"/>
    </row>
    <row r="449" spans="8:8" x14ac:dyDescent="0.25">
      <c r="H449" s="25"/>
    </row>
    <row r="450" spans="8:8" x14ac:dyDescent="0.25">
      <c r="H450" s="25"/>
    </row>
    <row r="451" spans="8:8" x14ac:dyDescent="0.25">
      <c r="H451" s="25"/>
    </row>
    <row r="452" spans="8:8" x14ac:dyDescent="0.25">
      <c r="H452" s="25"/>
    </row>
    <row r="453" spans="8:8" x14ac:dyDescent="0.25">
      <c r="H453" s="25"/>
    </row>
    <row r="454" spans="8:8" x14ac:dyDescent="0.25">
      <c r="H454" s="25"/>
    </row>
    <row r="455" spans="8:8" x14ac:dyDescent="0.25">
      <c r="H455" s="25"/>
    </row>
    <row r="456" spans="8:8" x14ac:dyDescent="0.25">
      <c r="H456" s="25"/>
    </row>
    <row r="457" spans="8:8" x14ac:dyDescent="0.25">
      <c r="H457" s="25"/>
    </row>
    <row r="458" spans="8:8" x14ac:dyDescent="0.25">
      <c r="H458" s="25"/>
    </row>
    <row r="459" spans="8:8" x14ac:dyDescent="0.25">
      <c r="H459" s="25"/>
    </row>
    <row r="460" spans="8:8" x14ac:dyDescent="0.25">
      <c r="H460" s="25"/>
    </row>
    <row r="461" spans="8:8" x14ac:dyDescent="0.25">
      <c r="H461" s="25"/>
    </row>
    <row r="462" spans="8:8" x14ac:dyDescent="0.25">
      <c r="H462" s="25"/>
    </row>
    <row r="463" spans="8:8" x14ac:dyDescent="0.25">
      <c r="H463" s="25"/>
    </row>
    <row r="464" spans="8:8" x14ac:dyDescent="0.25">
      <c r="H464" s="25"/>
    </row>
    <row r="465" spans="8:8" x14ac:dyDescent="0.25">
      <c r="H465" s="25"/>
    </row>
    <row r="466" spans="8:8" x14ac:dyDescent="0.25">
      <c r="H466" s="25"/>
    </row>
    <row r="467" spans="8:8" x14ac:dyDescent="0.25">
      <c r="H467" s="25"/>
    </row>
    <row r="468" spans="8:8" x14ac:dyDescent="0.25">
      <c r="H468" s="25"/>
    </row>
    <row r="469" spans="8:8" x14ac:dyDescent="0.25">
      <c r="H469" s="25"/>
    </row>
    <row r="470" spans="8:8" x14ac:dyDescent="0.25">
      <c r="H470" s="25"/>
    </row>
    <row r="471" spans="8:8" x14ac:dyDescent="0.25">
      <c r="H471" s="25"/>
    </row>
    <row r="472" spans="8:8" x14ac:dyDescent="0.25">
      <c r="H472" s="25"/>
    </row>
    <row r="473" spans="8:8" x14ac:dyDescent="0.25">
      <c r="H473" s="25"/>
    </row>
    <row r="474" spans="8:8" x14ac:dyDescent="0.25">
      <c r="H474" s="25"/>
    </row>
    <row r="475" spans="8:8" x14ac:dyDescent="0.25">
      <c r="H475" s="25"/>
    </row>
    <row r="476" spans="8:8" x14ac:dyDescent="0.25">
      <c r="H476" s="25"/>
    </row>
    <row r="477" spans="8:8" x14ac:dyDescent="0.25">
      <c r="H477" s="25"/>
    </row>
    <row r="478" spans="8:8" x14ac:dyDescent="0.25">
      <c r="H478" s="25"/>
    </row>
    <row r="479" spans="8:8" x14ac:dyDescent="0.25">
      <c r="H479" s="25"/>
    </row>
    <row r="480" spans="8:8" x14ac:dyDescent="0.25">
      <c r="H480" s="25"/>
    </row>
    <row r="481" spans="8:8" x14ac:dyDescent="0.25">
      <c r="H481" s="25"/>
    </row>
    <row r="482" spans="8:8" x14ac:dyDescent="0.25">
      <c r="H482" s="25"/>
    </row>
    <row r="483" spans="8:8" x14ac:dyDescent="0.25">
      <c r="H483" s="25"/>
    </row>
    <row r="484" spans="8:8" x14ac:dyDescent="0.25">
      <c r="H484" s="25"/>
    </row>
    <row r="485" spans="8:8" x14ac:dyDescent="0.25">
      <c r="H485" s="25"/>
    </row>
    <row r="486" spans="8:8" x14ac:dyDescent="0.25">
      <c r="H486" s="25"/>
    </row>
    <row r="487" spans="8:8" x14ac:dyDescent="0.25">
      <c r="H487" s="25"/>
    </row>
    <row r="488" spans="8:8" x14ac:dyDescent="0.25">
      <c r="H488" s="25"/>
    </row>
    <row r="489" spans="8:8" x14ac:dyDescent="0.25">
      <c r="H489" s="25"/>
    </row>
    <row r="490" spans="8:8" x14ac:dyDescent="0.25">
      <c r="H490" s="25"/>
    </row>
    <row r="491" spans="8:8" x14ac:dyDescent="0.25">
      <c r="H491" s="25"/>
    </row>
    <row r="492" spans="8:8" x14ac:dyDescent="0.25">
      <c r="H492" s="25"/>
    </row>
    <row r="493" spans="8:8" x14ac:dyDescent="0.25">
      <c r="H493" s="25"/>
    </row>
    <row r="494" spans="8:8" x14ac:dyDescent="0.25">
      <c r="H494" s="25"/>
    </row>
    <row r="495" spans="8:8" x14ac:dyDescent="0.25">
      <c r="H495" s="25"/>
    </row>
    <row r="496" spans="8:8" x14ac:dyDescent="0.25">
      <c r="H496" s="25"/>
    </row>
    <row r="497" spans="8:8" x14ac:dyDescent="0.25">
      <c r="H497" s="25"/>
    </row>
    <row r="498" spans="8:8" x14ac:dyDescent="0.25">
      <c r="H498" s="25"/>
    </row>
    <row r="499" spans="8:8" x14ac:dyDescent="0.25">
      <c r="H499" s="25"/>
    </row>
    <row r="500" spans="8:8" x14ac:dyDescent="0.25">
      <c r="H500" s="25"/>
    </row>
    <row r="501" spans="8:8" x14ac:dyDescent="0.25">
      <c r="H501" s="25"/>
    </row>
    <row r="502" spans="8:8" x14ac:dyDescent="0.25">
      <c r="H502" s="25"/>
    </row>
    <row r="503" spans="8:8" x14ac:dyDescent="0.25">
      <c r="H503" s="25"/>
    </row>
    <row r="504" spans="8:8" x14ac:dyDescent="0.25">
      <c r="H504" s="25"/>
    </row>
    <row r="505" spans="8:8" x14ac:dyDescent="0.25">
      <c r="H505" s="25"/>
    </row>
    <row r="506" spans="8:8" x14ac:dyDescent="0.25">
      <c r="H506" s="25"/>
    </row>
    <row r="507" spans="8:8" x14ac:dyDescent="0.25">
      <c r="H507" s="25"/>
    </row>
    <row r="508" spans="8:8" x14ac:dyDescent="0.25">
      <c r="H508" s="25"/>
    </row>
    <row r="509" spans="8:8" x14ac:dyDescent="0.25">
      <c r="H509" s="25"/>
    </row>
    <row r="510" spans="8:8" x14ac:dyDescent="0.25">
      <c r="H510" s="25"/>
    </row>
    <row r="511" spans="8:8" x14ac:dyDescent="0.25">
      <c r="H511" s="25"/>
    </row>
    <row r="512" spans="8:8" x14ac:dyDescent="0.25">
      <c r="H512" s="25"/>
    </row>
    <row r="513" spans="8:8" x14ac:dyDescent="0.25">
      <c r="H513" s="25"/>
    </row>
    <row r="514" spans="8:8" x14ac:dyDescent="0.25">
      <c r="H514" s="25"/>
    </row>
    <row r="515" spans="8:8" x14ac:dyDescent="0.25">
      <c r="H515" s="25"/>
    </row>
    <row r="516" spans="8:8" x14ac:dyDescent="0.25">
      <c r="H516" s="25"/>
    </row>
    <row r="517" spans="8:8" x14ac:dyDescent="0.25">
      <c r="H517" s="25"/>
    </row>
    <row r="518" spans="8:8" x14ac:dyDescent="0.25">
      <c r="H518" s="25"/>
    </row>
    <row r="519" spans="8:8" x14ac:dyDescent="0.25">
      <c r="H519" s="25"/>
    </row>
    <row r="520" spans="8:8" x14ac:dyDescent="0.25">
      <c r="H520" s="25"/>
    </row>
    <row r="521" spans="8:8" x14ac:dyDescent="0.25">
      <c r="H521" s="25"/>
    </row>
    <row r="522" spans="8:8" x14ac:dyDescent="0.25">
      <c r="H522" s="25"/>
    </row>
    <row r="523" spans="8:8" x14ac:dyDescent="0.25">
      <c r="H523" s="25"/>
    </row>
    <row r="524" spans="8:8" x14ac:dyDescent="0.25">
      <c r="H524" s="25"/>
    </row>
    <row r="525" spans="8:8" x14ac:dyDescent="0.25">
      <c r="H525" s="25"/>
    </row>
    <row r="526" spans="8:8" x14ac:dyDescent="0.25">
      <c r="H526" s="25"/>
    </row>
    <row r="527" spans="8:8" x14ac:dyDescent="0.25">
      <c r="H527" s="25"/>
    </row>
    <row r="528" spans="8:8" x14ac:dyDescent="0.25">
      <c r="H528" s="25"/>
    </row>
    <row r="529" spans="8:8" x14ac:dyDescent="0.25">
      <c r="H529" s="25"/>
    </row>
    <row r="530" spans="8:8" x14ac:dyDescent="0.25">
      <c r="H530" s="25"/>
    </row>
    <row r="531" spans="8:8" x14ac:dyDescent="0.25">
      <c r="H531" s="25"/>
    </row>
    <row r="532" spans="8:8" x14ac:dyDescent="0.25">
      <c r="H532" s="25"/>
    </row>
    <row r="533" spans="8:8" x14ac:dyDescent="0.25">
      <c r="H533" s="25"/>
    </row>
    <row r="534" spans="8:8" x14ac:dyDescent="0.25">
      <c r="H534" s="25"/>
    </row>
    <row r="535" spans="8:8" x14ac:dyDescent="0.25">
      <c r="H535" s="25"/>
    </row>
    <row r="536" spans="8:8" x14ac:dyDescent="0.25">
      <c r="H536" s="25"/>
    </row>
    <row r="537" spans="8:8" x14ac:dyDescent="0.25">
      <c r="H537" s="25"/>
    </row>
    <row r="538" spans="8:8" x14ac:dyDescent="0.25">
      <c r="H538" s="25"/>
    </row>
    <row r="539" spans="8:8" x14ac:dyDescent="0.25">
      <c r="H539" s="25"/>
    </row>
    <row r="540" spans="8:8" x14ac:dyDescent="0.25">
      <c r="H540" s="25"/>
    </row>
    <row r="541" spans="8:8" x14ac:dyDescent="0.25">
      <c r="H541" s="25"/>
    </row>
    <row r="542" spans="8:8" x14ac:dyDescent="0.25">
      <c r="H542" s="25"/>
    </row>
    <row r="543" spans="8:8" x14ac:dyDescent="0.25">
      <c r="H543" s="25"/>
    </row>
    <row r="544" spans="8:8" x14ac:dyDescent="0.25">
      <c r="H544" s="25"/>
    </row>
    <row r="545" spans="8:8" x14ac:dyDescent="0.25">
      <c r="H545" s="25"/>
    </row>
    <row r="546" spans="8:8" x14ac:dyDescent="0.25">
      <c r="H546" s="25"/>
    </row>
    <row r="547" spans="8:8" x14ac:dyDescent="0.25">
      <c r="H547" s="25"/>
    </row>
    <row r="548" spans="8:8" x14ac:dyDescent="0.25">
      <c r="H548" s="25"/>
    </row>
    <row r="549" spans="8:8" x14ac:dyDescent="0.25">
      <c r="H549" s="25"/>
    </row>
    <row r="550" spans="8:8" x14ac:dyDescent="0.25">
      <c r="H550" s="25"/>
    </row>
    <row r="551" spans="8:8" x14ac:dyDescent="0.25">
      <c r="H551" s="25"/>
    </row>
    <row r="552" spans="8:8" x14ac:dyDescent="0.25">
      <c r="H552" s="25"/>
    </row>
    <row r="553" spans="8:8" x14ac:dyDescent="0.25">
      <c r="H553" s="25"/>
    </row>
    <row r="554" spans="8:8" x14ac:dyDescent="0.25">
      <c r="H554" s="25"/>
    </row>
    <row r="555" spans="8:8" x14ac:dyDescent="0.25">
      <c r="H555" s="25"/>
    </row>
    <row r="556" spans="8:8" x14ac:dyDescent="0.25">
      <c r="H556" s="25"/>
    </row>
    <row r="557" spans="8:8" x14ac:dyDescent="0.25">
      <c r="H557" s="25"/>
    </row>
    <row r="558" spans="8:8" x14ac:dyDescent="0.25">
      <c r="H558" s="25"/>
    </row>
    <row r="559" spans="8:8" x14ac:dyDescent="0.25">
      <c r="H559" s="25"/>
    </row>
    <row r="560" spans="8:8" x14ac:dyDescent="0.25">
      <c r="H560" s="25"/>
    </row>
    <row r="561" spans="8:8" x14ac:dyDescent="0.25">
      <c r="H561" s="25"/>
    </row>
    <row r="562" spans="8:8" x14ac:dyDescent="0.25">
      <c r="H562" s="25"/>
    </row>
    <row r="563" spans="8:8" x14ac:dyDescent="0.25">
      <c r="H563" s="25"/>
    </row>
    <row r="564" spans="8:8" x14ac:dyDescent="0.25">
      <c r="H564" s="25"/>
    </row>
    <row r="565" spans="8:8" x14ac:dyDescent="0.25">
      <c r="H565" s="25"/>
    </row>
    <row r="566" spans="8:8" x14ac:dyDescent="0.25">
      <c r="H566" s="25"/>
    </row>
    <row r="567" spans="8:8" x14ac:dyDescent="0.25">
      <c r="H567" s="25"/>
    </row>
    <row r="568" spans="8:8" x14ac:dyDescent="0.25">
      <c r="H568" s="25"/>
    </row>
    <row r="569" spans="8:8" x14ac:dyDescent="0.25">
      <c r="H569" s="25"/>
    </row>
    <row r="570" spans="8:8" x14ac:dyDescent="0.25">
      <c r="H570" s="25"/>
    </row>
    <row r="571" spans="8:8" x14ac:dyDescent="0.25">
      <c r="H571" s="25"/>
    </row>
    <row r="572" spans="8:8" x14ac:dyDescent="0.25">
      <c r="H572" s="25"/>
    </row>
    <row r="573" spans="8:8" x14ac:dyDescent="0.25">
      <c r="H573" s="25"/>
    </row>
    <row r="574" spans="8:8" x14ac:dyDescent="0.25">
      <c r="H574" s="25"/>
    </row>
    <row r="575" spans="8:8" x14ac:dyDescent="0.25">
      <c r="H575" s="25"/>
    </row>
    <row r="576" spans="8:8" x14ac:dyDescent="0.25">
      <c r="H576" s="25"/>
    </row>
    <row r="577" spans="8:8" x14ac:dyDescent="0.25">
      <c r="H577" s="25"/>
    </row>
    <row r="578" spans="8:8" x14ac:dyDescent="0.25">
      <c r="H578" s="25"/>
    </row>
    <row r="579" spans="8:8" x14ac:dyDescent="0.25">
      <c r="H579" s="25"/>
    </row>
    <row r="580" spans="8:8" x14ac:dyDescent="0.25">
      <c r="H580" s="25"/>
    </row>
    <row r="581" spans="8:8" x14ac:dyDescent="0.25">
      <c r="H581" s="25"/>
    </row>
    <row r="582" spans="8:8" x14ac:dyDescent="0.25">
      <c r="H582" s="25"/>
    </row>
    <row r="583" spans="8:8" x14ac:dyDescent="0.25">
      <c r="H583" s="25"/>
    </row>
    <row r="584" spans="8:8" x14ac:dyDescent="0.25">
      <c r="H584" s="25"/>
    </row>
    <row r="585" spans="8:8" x14ac:dyDescent="0.25">
      <c r="H585" s="25"/>
    </row>
    <row r="586" spans="8:8" x14ac:dyDescent="0.25">
      <c r="H586" s="25"/>
    </row>
    <row r="587" spans="8:8" x14ac:dyDescent="0.25">
      <c r="H587" s="25"/>
    </row>
    <row r="588" spans="8:8" x14ac:dyDescent="0.25">
      <c r="H588" s="25"/>
    </row>
    <row r="589" spans="8:8" x14ac:dyDescent="0.25">
      <c r="H589" s="25"/>
    </row>
    <row r="590" spans="8:8" x14ac:dyDescent="0.25">
      <c r="H590" s="25"/>
    </row>
    <row r="591" spans="8:8" x14ac:dyDescent="0.25">
      <c r="H591" s="25"/>
    </row>
    <row r="592" spans="8:8" x14ac:dyDescent="0.25">
      <c r="H592" s="25"/>
    </row>
    <row r="593" spans="8:8" x14ac:dyDescent="0.25">
      <c r="H593" s="25"/>
    </row>
    <row r="594" spans="8:8" x14ac:dyDescent="0.25">
      <c r="H594" s="25"/>
    </row>
    <row r="595" spans="8:8" x14ac:dyDescent="0.25">
      <c r="H595" s="25"/>
    </row>
    <row r="596" spans="8:8" x14ac:dyDescent="0.25">
      <c r="H596" s="25"/>
    </row>
    <row r="597" spans="8:8" x14ac:dyDescent="0.25">
      <c r="H597" s="25"/>
    </row>
    <row r="598" spans="8:8" x14ac:dyDescent="0.25">
      <c r="H598" s="25"/>
    </row>
    <row r="599" spans="8:8" x14ac:dyDescent="0.25">
      <c r="H599" s="25"/>
    </row>
    <row r="600" spans="8:8" x14ac:dyDescent="0.25">
      <c r="H600" s="25"/>
    </row>
    <row r="601" spans="8:8" x14ac:dyDescent="0.25">
      <c r="H601" s="25"/>
    </row>
    <row r="602" spans="8:8" x14ac:dyDescent="0.25">
      <c r="H602" s="25"/>
    </row>
    <row r="603" spans="8:8" x14ac:dyDescent="0.25">
      <c r="H603" s="25"/>
    </row>
    <row r="604" spans="8:8" x14ac:dyDescent="0.25">
      <c r="H604" s="25"/>
    </row>
    <row r="605" spans="8:8" x14ac:dyDescent="0.25">
      <c r="H605" s="25"/>
    </row>
    <row r="606" spans="8:8" x14ac:dyDescent="0.25">
      <c r="H606" s="25"/>
    </row>
    <row r="607" spans="8:8" x14ac:dyDescent="0.25">
      <c r="H607" s="25"/>
    </row>
    <row r="608" spans="8:8" x14ac:dyDescent="0.25">
      <c r="H608" s="25"/>
    </row>
    <row r="609" spans="8:8" x14ac:dyDescent="0.25">
      <c r="H609" s="25"/>
    </row>
    <row r="610" spans="8:8" x14ac:dyDescent="0.25">
      <c r="H610" s="25"/>
    </row>
    <row r="611" spans="8:8" x14ac:dyDescent="0.25">
      <c r="H611" s="25"/>
    </row>
    <row r="612" spans="8:8" x14ac:dyDescent="0.25">
      <c r="H612" s="25"/>
    </row>
    <row r="613" spans="8:8" x14ac:dyDescent="0.25">
      <c r="H613" s="25"/>
    </row>
    <row r="614" spans="8:8" x14ac:dyDescent="0.25">
      <c r="H614" s="25"/>
    </row>
    <row r="615" spans="8:8" x14ac:dyDescent="0.25">
      <c r="H615" s="25"/>
    </row>
    <row r="616" spans="8:8" x14ac:dyDescent="0.25">
      <c r="H616" s="25"/>
    </row>
    <row r="617" spans="8:8" x14ac:dyDescent="0.25">
      <c r="H617" s="25"/>
    </row>
    <row r="618" spans="8:8" x14ac:dyDescent="0.25">
      <c r="H618" s="25"/>
    </row>
    <row r="619" spans="8:8" x14ac:dyDescent="0.25">
      <c r="H619" s="25"/>
    </row>
    <row r="620" spans="8:8" x14ac:dyDescent="0.25">
      <c r="H620" s="25"/>
    </row>
    <row r="621" spans="8:8" x14ac:dyDescent="0.25">
      <c r="H621" s="25"/>
    </row>
    <row r="622" spans="8:8" x14ac:dyDescent="0.25">
      <c r="H622" s="25"/>
    </row>
    <row r="623" spans="8:8" x14ac:dyDescent="0.25">
      <c r="H623" s="25"/>
    </row>
    <row r="624" spans="8:8" x14ac:dyDescent="0.25">
      <c r="H624" s="25"/>
    </row>
    <row r="625" spans="8:8" x14ac:dyDescent="0.25">
      <c r="H625" s="25"/>
    </row>
    <row r="626" spans="8:8" x14ac:dyDescent="0.25">
      <c r="H626" s="25"/>
    </row>
    <row r="627" spans="8:8" x14ac:dyDescent="0.25">
      <c r="H627" s="25"/>
    </row>
    <row r="628" spans="8:8" x14ac:dyDescent="0.25">
      <c r="H628" s="25"/>
    </row>
    <row r="629" spans="8:8" x14ac:dyDescent="0.25">
      <c r="H629" s="25"/>
    </row>
    <row r="630" spans="8:8" x14ac:dyDescent="0.25">
      <c r="H630" s="25"/>
    </row>
    <row r="631" spans="8:8" x14ac:dyDescent="0.25">
      <c r="H631" s="25"/>
    </row>
    <row r="632" spans="8:8" x14ac:dyDescent="0.25">
      <c r="H632" s="25"/>
    </row>
    <row r="633" spans="8:8" x14ac:dyDescent="0.25">
      <c r="H633" s="25"/>
    </row>
    <row r="634" spans="8:8" x14ac:dyDescent="0.25">
      <c r="H634" s="25"/>
    </row>
    <row r="635" spans="8:8" x14ac:dyDescent="0.25">
      <c r="H635" s="25"/>
    </row>
    <row r="636" spans="8:8" x14ac:dyDescent="0.25">
      <c r="H636" s="25"/>
    </row>
    <row r="637" spans="8:8" x14ac:dyDescent="0.25">
      <c r="H637" s="25"/>
    </row>
    <row r="638" spans="8:8" x14ac:dyDescent="0.25">
      <c r="H638" s="25"/>
    </row>
    <row r="639" spans="8:8" x14ac:dyDescent="0.25">
      <c r="H639" s="25"/>
    </row>
    <row r="640" spans="8:8" x14ac:dyDescent="0.25">
      <c r="H640" s="25"/>
    </row>
    <row r="641" spans="8:8" x14ac:dyDescent="0.25">
      <c r="H641" s="25"/>
    </row>
    <row r="642" spans="8:8" x14ac:dyDescent="0.25">
      <c r="H642" s="25"/>
    </row>
    <row r="643" spans="8:8" x14ac:dyDescent="0.25">
      <c r="H643" s="25"/>
    </row>
    <row r="644" spans="8:8" x14ac:dyDescent="0.25">
      <c r="H644" s="25"/>
    </row>
    <row r="645" spans="8:8" x14ac:dyDescent="0.25">
      <c r="H645" s="25"/>
    </row>
    <row r="646" spans="8:8" x14ac:dyDescent="0.25">
      <c r="H646" s="25"/>
    </row>
    <row r="647" spans="8:8" x14ac:dyDescent="0.25">
      <c r="H647" s="25"/>
    </row>
    <row r="648" spans="8:8" x14ac:dyDescent="0.25">
      <c r="H648" s="25"/>
    </row>
    <row r="649" spans="8:8" x14ac:dyDescent="0.25">
      <c r="H649" s="25"/>
    </row>
    <row r="650" spans="8:8" x14ac:dyDescent="0.25">
      <c r="H650" s="25"/>
    </row>
    <row r="651" spans="8:8" x14ac:dyDescent="0.25">
      <c r="H651" s="25"/>
    </row>
    <row r="652" spans="8:8" x14ac:dyDescent="0.25">
      <c r="H652" s="25"/>
    </row>
    <row r="653" spans="8:8" x14ac:dyDescent="0.25">
      <c r="H653" s="25"/>
    </row>
    <row r="654" spans="8:8" x14ac:dyDescent="0.25">
      <c r="H654" s="25"/>
    </row>
    <row r="655" spans="8:8" x14ac:dyDescent="0.25">
      <c r="H655" s="25"/>
    </row>
    <row r="656" spans="8:8" x14ac:dyDescent="0.25">
      <c r="H656" s="25"/>
    </row>
    <row r="657" spans="8:8" x14ac:dyDescent="0.25">
      <c r="H657" s="25"/>
    </row>
    <row r="658" spans="8:8" x14ac:dyDescent="0.25">
      <c r="H658" s="25"/>
    </row>
    <row r="659" spans="8:8" x14ac:dyDescent="0.25">
      <c r="H659" s="25"/>
    </row>
    <row r="660" spans="8:8" x14ac:dyDescent="0.25">
      <c r="H660" s="25"/>
    </row>
    <row r="661" spans="8:8" x14ac:dyDescent="0.25">
      <c r="H661" s="25"/>
    </row>
    <row r="662" spans="8:8" x14ac:dyDescent="0.25">
      <c r="H662" s="25"/>
    </row>
    <row r="663" spans="8:8" x14ac:dyDescent="0.25">
      <c r="H663" s="25"/>
    </row>
    <row r="664" spans="8:8" x14ac:dyDescent="0.25">
      <c r="H664" s="25"/>
    </row>
    <row r="665" spans="8:8" x14ac:dyDescent="0.25">
      <c r="H665" s="25"/>
    </row>
    <row r="666" spans="8:8" x14ac:dyDescent="0.25">
      <c r="H666" s="25"/>
    </row>
    <row r="667" spans="8:8" x14ac:dyDescent="0.25">
      <c r="H667" s="25"/>
    </row>
    <row r="668" spans="8:8" x14ac:dyDescent="0.25">
      <c r="H668" s="25"/>
    </row>
    <row r="669" spans="8:8" x14ac:dyDescent="0.25">
      <c r="H669" s="25"/>
    </row>
    <row r="670" spans="8:8" x14ac:dyDescent="0.25">
      <c r="H670" s="25"/>
    </row>
    <row r="671" spans="8:8" x14ac:dyDescent="0.25">
      <c r="H671" s="25"/>
    </row>
    <row r="672" spans="8:8" x14ac:dyDescent="0.25">
      <c r="H672" s="25"/>
    </row>
    <row r="673" spans="8:8" x14ac:dyDescent="0.25">
      <c r="H673" s="25"/>
    </row>
    <row r="674" spans="8:8" x14ac:dyDescent="0.25">
      <c r="H674" s="25"/>
    </row>
    <row r="675" spans="8:8" x14ac:dyDescent="0.25">
      <c r="H675" s="25"/>
    </row>
    <row r="676" spans="8:8" x14ac:dyDescent="0.25">
      <c r="H676" s="25"/>
    </row>
    <row r="677" spans="8:8" x14ac:dyDescent="0.25">
      <c r="H677" s="25"/>
    </row>
    <row r="678" spans="8:8" x14ac:dyDescent="0.25">
      <c r="H678" s="25"/>
    </row>
    <row r="679" spans="8:8" x14ac:dyDescent="0.25">
      <c r="H679" s="25"/>
    </row>
    <row r="680" spans="8:8" x14ac:dyDescent="0.25">
      <c r="H680" s="25"/>
    </row>
    <row r="681" spans="8:8" x14ac:dyDescent="0.25">
      <c r="H681" s="25"/>
    </row>
    <row r="682" spans="8:8" x14ac:dyDescent="0.25">
      <c r="H682" s="25"/>
    </row>
    <row r="683" spans="8:8" x14ac:dyDescent="0.25">
      <c r="H683" s="25"/>
    </row>
    <row r="684" spans="8:8" x14ac:dyDescent="0.25">
      <c r="H684" s="25"/>
    </row>
    <row r="685" spans="8:8" x14ac:dyDescent="0.25">
      <c r="H685" s="25"/>
    </row>
    <row r="686" spans="8:8" x14ac:dyDescent="0.25">
      <c r="H686" s="25"/>
    </row>
    <row r="687" spans="8:8" x14ac:dyDescent="0.25">
      <c r="H687" s="25"/>
    </row>
    <row r="688" spans="8:8" x14ac:dyDescent="0.25">
      <c r="H688" s="25"/>
    </row>
    <row r="689" spans="8:8" x14ac:dyDescent="0.25">
      <c r="H689" s="25"/>
    </row>
    <row r="690" spans="8:8" x14ac:dyDescent="0.25">
      <c r="H690" s="25"/>
    </row>
    <row r="691" spans="8:8" x14ac:dyDescent="0.25">
      <c r="H691" s="25"/>
    </row>
    <row r="692" spans="8:8" x14ac:dyDescent="0.25">
      <c r="H692" s="25"/>
    </row>
    <row r="693" spans="8:8" x14ac:dyDescent="0.25">
      <c r="H693" s="25"/>
    </row>
    <row r="694" spans="8:8" x14ac:dyDescent="0.25">
      <c r="H694" s="25"/>
    </row>
    <row r="695" spans="8:8" x14ac:dyDescent="0.25">
      <c r="H695" s="25"/>
    </row>
    <row r="696" spans="8:8" x14ac:dyDescent="0.25">
      <c r="H696" s="25"/>
    </row>
    <row r="697" spans="8:8" x14ac:dyDescent="0.25">
      <c r="H697" s="25"/>
    </row>
    <row r="698" spans="8:8" x14ac:dyDescent="0.25">
      <c r="H698" s="25"/>
    </row>
    <row r="699" spans="8:8" x14ac:dyDescent="0.25">
      <c r="H699" s="25"/>
    </row>
    <row r="700" spans="8:8" x14ac:dyDescent="0.25">
      <c r="H700" s="25"/>
    </row>
    <row r="701" spans="8:8" x14ac:dyDescent="0.25">
      <c r="H701" s="25"/>
    </row>
    <row r="702" spans="8:8" x14ac:dyDescent="0.25">
      <c r="H702" s="25"/>
    </row>
    <row r="703" spans="8:8" x14ac:dyDescent="0.25">
      <c r="H703" s="25"/>
    </row>
    <row r="704" spans="8:8" x14ac:dyDescent="0.25">
      <c r="H704" s="25"/>
    </row>
    <row r="705" spans="8:8" x14ac:dyDescent="0.25">
      <c r="H705" s="25"/>
    </row>
    <row r="706" spans="8:8" x14ac:dyDescent="0.25">
      <c r="H706" s="25"/>
    </row>
    <row r="707" spans="8:8" x14ac:dyDescent="0.25">
      <c r="H707" s="25"/>
    </row>
    <row r="708" spans="8:8" x14ac:dyDescent="0.25">
      <c r="H708" s="25"/>
    </row>
    <row r="709" spans="8:8" x14ac:dyDescent="0.25">
      <c r="H709" s="25"/>
    </row>
    <row r="710" spans="8:8" x14ac:dyDescent="0.25">
      <c r="H710" s="25"/>
    </row>
    <row r="711" spans="8:8" x14ac:dyDescent="0.25">
      <c r="H711" s="25"/>
    </row>
    <row r="712" spans="8:8" x14ac:dyDescent="0.25">
      <c r="H712" s="25"/>
    </row>
    <row r="713" spans="8:8" x14ac:dyDescent="0.25">
      <c r="H713" s="25"/>
    </row>
    <row r="714" spans="8:8" x14ac:dyDescent="0.25">
      <c r="H714" s="25"/>
    </row>
    <row r="715" spans="8:8" x14ac:dyDescent="0.25">
      <c r="H715" s="25"/>
    </row>
    <row r="716" spans="8:8" x14ac:dyDescent="0.25">
      <c r="H716" s="25"/>
    </row>
    <row r="717" spans="8:8" x14ac:dyDescent="0.25">
      <c r="H717" s="25"/>
    </row>
    <row r="718" spans="8:8" x14ac:dyDescent="0.25">
      <c r="H718" s="25"/>
    </row>
    <row r="719" spans="8:8" x14ac:dyDescent="0.25">
      <c r="H719" s="25"/>
    </row>
    <row r="720" spans="8:8" x14ac:dyDescent="0.25">
      <c r="H720" s="25"/>
    </row>
    <row r="721" spans="8:8" x14ac:dyDescent="0.25">
      <c r="H721" s="25"/>
    </row>
    <row r="722" spans="8:8" x14ac:dyDescent="0.25">
      <c r="H722" s="25"/>
    </row>
    <row r="723" spans="8:8" x14ac:dyDescent="0.25">
      <c r="H723" s="25"/>
    </row>
    <row r="724" spans="8:8" x14ac:dyDescent="0.25">
      <c r="H724" s="25"/>
    </row>
    <row r="725" spans="8:8" x14ac:dyDescent="0.25">
      <c r="H725" s="25"/>
    </row>
    <row r="726" spans="8:8" x14ac:dyDescent="0.25">
      <c r="H726" s="25"/>
    </row>
    <row r="727" spans="8:8" x14ac:dyDescent="0.25">
      <c r="H727" s="25"/>
    </row>
    <row r="728" spans="8:8" x14ac:dyDescent="0.25">
      <c r="H728" s="25"/>
    </row>
    <row r="729" spans="8:8" x14ac:dyDescent="0.25">
      <c r="H729" s="25"/>
    </row>
    <row r="730" spans="8:8" x14ac:dyDescent="0.25">
      <c r="H730" s="25"/>
    </row>
    <row r="731" spans="8:8" x14ac:dyDescent="0.25">
      <c r="H731" s="25"/>
    </row>
    <row r="732" spans="8:8" x14ac:dyDescent="0.25">
      <c r="H732" s="25"/>
    </row>
    <row r="733" spans="8:8" x14ac:dyDescent="0.25">
      <c r="H733" s="25"/>
    </row>
    <row r="734" spans="8:8" x14ac:dyDescent="0.25">
      <c r="H734" s="25"/>
    </row>
    <row r="735" spans="8:8" x14ac:dyDescent="0.25">
      <c r="H735" s="25"/>
    </row>
    <row r="736" spans="8:8" x14ac:dyDescent="0.25">
      <c r="H736" s="25"/>
    </row>
    <row r="737" spans="8:8" x14ac:dyDescent="0.25">
      <c r="H737" s="25"/>
    </row>
    <row r="738" spans="8:8" x14ac:dyDescent="0.25">
      <c r="H738" s="25"/>
    </row>
    <row r="739" spans="8:8" x14ac:dyDescent="0.25">
      <c r="H739" s="25"/>
    </row>
    <row r="740" spans="8:8" x14ac:dyDescent="0.25">
      <c r="H740" s="25"/>
    </row>
    <row r="741" spans="8:8" x14ac:dyDescent="0.25">
      <c r="H741" s="25"/>
    </row>
    <row r="742" spans="8:8" x14ac:dyDescent="0.25">
      <c r="H742" s="25"/>
    </row>
    <row r="743" spans="8:8" x14ac:dyDescent="0.25">
      <c r="H743" s="25"/>
    </row>
    <row r="744" spans="8:8" x14ac:dyDescent="0.25">
      <c r="H744" s="25"/>
    </row>
    <row r="745" spans="8:8" x14ac:dyDescent="0.25">
      <c r="H745" s="25"/>
    </row>
    <row r="746" spans="8:8" x14ac:dyDescent="0.25">
      <c r="H746" s="25"/>
    </row>
    <row r="747" spans="8:8" x14ac:dyDescent="0.25">
      <c r="H747" s="25"/>
    </row>
    <row r="748" spans="8:8" x14ac:dyDescent="0.25">
      <c r="H748" s="25"/>
    </row>
    <row r="749" spans="8:8" x14ac:dyDescent="0.25">
      <c r="H749" s="25"/>
    </row>
    <row r="750" spans="8:8" x14ac:dyDescent="0.25">
      <c r="H750" s="25"/>
    </row>
    <row r="751" spans="8:8" x14ac:dyDescent="0.25">
      <c r="H751" s="25"/>
    </row>
    <row r="752" spans="8:8" x14ac:dyDescent="0.25">
      <c r="H752" s="25"/>
    </row>
    <row r="753" spans="8:8" x14ac:dyDescent="0.25">
      <c r="H753" s="25"/>
    </row>
    <row r="754" spans="8:8" x14ac:dyDescent="0.25">
      <c r="H754" s="25"/>
    </row>
    <row r="755" spans="8:8" x14ac:dyDescent="0.25">
      <c r="H755" s="25"/>
    </row>
    <row r="756" spans="8:8" x14ac:dyDescent="0.25">
      <c r="H756" s="25"/>
    </row>
    <row r="757" spans="8:8" x14ac:dyDescent="0.25">
      <c r="H757" s="25"/>
    </row>
    <row r="758" spans="8:8" x14ac:dyDescent="0.25">
      <c r="H758" s="25"/>
    </row>
    <row r="759" spans="8:8" x14ac:dyDescent="0.25">
      <c r="H759" s="25"/>
    </row>
    <row r="760" spans="8:8" x14ac:dyDescent="0.25">
      <c r="H760" s="25"/>
    </row>
    <row r="761" spans="8:8" x14ac:dyDescent="0.25">
      <c r="H761" s="25"/>
    </row>
    <row r="762" spans="8:8" x14ac:dyDescent="0.25">
      <c r="H762" s="25"/>
    </row>
    <row r="763" spans="8:8" x14ac:dyDescent="0.25">
      <c r="H763" s="25"/>
    </row>
    <row r="764" spans="8:8" x14ac:dyDescent="0.25">
      <c r="H764" s="25"/>
    </row>
    <row r="765" spans="8:8" x14ac:dyDescent="0.25">
      <c r="H765" s="25"/>
    </row>
    <row r="766" spans="8:8" x14ac:dyDescent="0.25">
      <c r="H766" s="25"/>
    </row>
    <row r="767" spans="8:8" x14ac:dyDescent="0.25">
      <c r="H767" s="25"/>
    </row>
    <row r="768" spans="8:8" x14ac:dyDescent="0.25">
      <c r="H768" s="25"/>
    </row>
    <row r="769" spans="8:8" x14ac:dyDescent="0.25">
      <c r="H769" s="25"/>
    </row>
    <row r="770" spans="8:8" x14ac:dyDescent="0.25">
      <c r="H770" s="25"/>
    </row>
    <row r="771" spans="8:8" x14ac:dyDescent="0.25">
      <c r="H771" s="25"/>
    </row>
    <row r="772" spans="8:8" x14ac:dyDescent="0.25">
      <c r="H772" s="25"/>
    </row>
    <row r="773" spans="8:8" x14ac:dyDescent="0.25">
      <c r="H773" s="25"/>
    </row>
    <row r="774" spans="8:8" x14ac:dyDescent="0.25">
      <c r="H774" s="25"/>
    </row>
    <row r="775" spans="8:8" x14ac:dyDescent="0.25">
      <c r="H775" s="25"/>
    </row>
    <row r="776" spans="8:8" x14ac:dyDescent="0.25">
      <c r="H776" s="25"/>
    </row>
    <row r="777" spans="8:8" x14ac:dyDescent="0.25">
      <c r="H777" s="25"/>
    </row>
    <row r="778" spans="8:8" x14ac:dyDescent="0.25">
      <c r="H778" s="25"/>
    </row>
    <row r="779" spans="8:8" x14ac:dyDescent="0.25">
      <c r="H779" s="25"/>
    </row>
    <row r="780" spans="8:8" x14ac:dyDescent="0.25">
      <c r="H780" s="25"/>
    </row>
    <row r="781" spans="8:8" x14ac:dyDescent="0.25">
      <c r="H781" s="25"/>
    </row>
    <row r="782" spans="8:8" x14ac:dyDescent="0.25">
      <c r="H782" s="25"/>
    </row>
    <row r="783" spans="8:8" x14ac:dyDescent="0.25">
      <c r="H783" s="25"/>
    </row>
    <row r="784" spans="8:8" x14ac:dyDescent="0.25">
      <c r="H784" s="25"/>
    </row>
    <row r="785" spans="8:8" x14ac:dyDescent="0.25">
      <c r="H785" s="25"/>
    </row>
    <row r="786" spans="8:8" x14ac:dyDescent="0.25">
      <c r="H786" s="25"/>
    </row>
    <row r="787" spans="8:8" x14ac:dyDescent="0.25">
      <c r="H787" s="25"/>
    </row>
    <row r="788" spans="8:8" x14ac:dyDescent="0.25">
      <c r="H788" s="25"/>
    </row>
    <row r="789" spans="8:8" x14ac:dyDescent="0.25">
      <c r="H789" s="25"/>
    </row>
    <row r="790" spans="8:8" x14ac:dyDescent="0.25">
      <c r="H790" s="25"/>
    </row>
    <row r="791" spans="8:8" x14ac:dyDescent="0.25">
      <c r="H791" s="25"/>
    </row>
    <row r="792" spans="8:8" x14ac:dyDescent="0.25">
      <c r="H792" s="25"/>
    </row>
    <row r="793" spans="8:8" x14ac:dyDescent="0.25">
      <c r="H793" s="25"/>
    </row>
    <row r="794" spans="8:8" x14ac:dyDescent="0.25">
      <c r="H794" s="25"/>
    </row>
    <row r="795" spans="8:8" x14ac:dyDescent="0.25">
      <c r="H795" s="25"/>
    </row>
    <row r="796" spans="8:8" x14ac:dyDescent="0.25">
      <c r="H796" s="25"/>
    </row>
    <row r="797" spans="8:8" x14ac:dyDescent="0.25">
      <c r="H797" s="25"/>
    </row>
    <row r="798" spans="8:8" x14ac:dyDescent="0.25">
      <c r="H798" s="25"/>
    </row>
    <row r="799" spans="8:8" x14ac:dyDescent="0.25">
      <c r="H799" s="25"/>
    </row>
    <row r="800" spans="8:8" x14ac:dyDescent="0.25">
      <c r="H800" s="25"/>
    </row>
    <row r="801" spans="8:8" x14ac:dyDescent="0.25">
      <c r="H801" s="25"/>
    </row>
    <row r="802" spans="8:8" x14ac:dyDescent="0.25">
      <c r="H802" s="25"/>
    </row>
    <row r="803" spans="8:8" x14ac:dyDescent="0.25">
      <c r="H803" s="25"/>
    </row>
    <row r="804" spans="8:8" x14ac:dyDescent="0.25">
      <c r="H804" s="25"/>
    </row>
    <row r="805" spans="8:8" x14ac:dyDescent="0.25">
      <c r="H805" s="25"/>
    </row>
    <row r="806" spans="8:8" x14ac:dyDescent="0.25">
      <c r="H806" s="25"/>
    </row>
    <row r="807" spans="8:8" x14ac:dyDescent="0.25">
      <c r="H807" s="25"/>
    </row>
    <row r="808" spans="8:8" x14ac:dyDescent="0.25">
      <c r="H808" s="25"/>
    </row>
    <row r="809" spans="8:8" x14ac:dyDescent="0.25">
      <c r="H809" s="25"/>
    </row>
    <row r="810" spans="8:8" x14ac:dyDescent="0.25">
      <c r="H810" s="25"/>
    </row>
    <row r="811" spans="8:8" x14ac:dyDescent="0.25">
      <c r="H811" s="25"/>
    </row>
    <row r="812" spans="8:8" x14ac:dyDescent="0.25">
      <c r="H812" s="25"/>
    </row>
    <row r="813" spans="8:8" x14ac:dyDescent="0.25">
      <c r="H813" s="25"/>
    </row>
    <row r="814" spans="8:8" x14ac:dyDescent="0.25">
      <c r="H814" s="25"/>
    </row>
    <row r="815" spans="8:8" x14ac:dyDescent="0.25">
      <c r="H815" s="25"/>
    </row>
    <row r="816" spans="8:8" x14ac:dyDescent="0.25">
      <c r="H816" s="25"/>
    </row>
    <row r="817" spans="8:8" x14ac:dyDescent="0.25">
      <c r="H817" s="25"/>
    </row>
    <row r="818" spans="8:8" x14ac:dyDescent="0.25">
      <c r="H818" s="25"/>
    </row>
    <row r="819" spans="8:8" x14ac:dyDescent="0.25">
      <c r="H819" s="25"/>
    </row>
    <row r="820" spans="8:8" x14ac:dyDescent="0.25">
      <c r="H820" s="25"/>
    </row>
    <row r="821" spans="8:8" x14ac:dyDescent="0.25">
      <c r="H821" s="25"/>
    </row>
    <row r="822" spans="8:8" x14ac:dyDescent="0.25">
      <c r="H822" s="25"/>
    </row>
    <row r="823" spans="8:8" x14ac:dyDescent="0.25">
      <c r="H823" s="25"/>
    </row>
    <row r="824" spans="8:8" x14ac:dyDescent="0.25">
      <c r="H824" s="25"/>
    </row>
    <row r="825" spans="8:8" x14ac:dyDescent="0.25">
      <c r="H825" s="25"/>
    </row>
    <row r="826" spans="8:8" x14ac:dyDescent="0.25">
      <c r="H826" s="25"/>
    </row>
    <row r="827" spans="8:8" x14ac:dyDescent="0.25">
      <c r="H827" s="25"/>
    </row>
    <row r="828" spans="8:8" x14ac:dyDescent="0.25">
      <c r="H828" s="25"/>
    </row>
    <row r="829" spans="8:8" x14ac:dyDescent="0.25">
      <c r="H829" s="25"/>
    </row>
    <row r="830" spans="8:8" x14ac:dyDescent="0.25">
      <c r="H830" s="25"/>
    </row>
    <row r="831" spans="8:8" x14ac:dyDescent="0.25">
      <c r="H831" s="25"/>
    </row>
    <row r="832" spans="8:8" x14ac:dyDescent="0.25">
      <c r="H832" s="25"/>
    </row>
    <row r="833" spans="8:8" x14ac:dyDescent="0.25">
      <c r="H833" s="25"/>
    </row>
    <row r="834" spans="8:8" x14ac:dyDescent="0.25">
      <c r="H834" s="25"/>
    </row>
    <row r="835" spans="8:8" x14ac:dyDescent="0.25">
      <c r="H835" s="25"/>
    </row>
    <row r="836" spans="8:8" x14ac:dyDescent="0.25">
      <c r="H836" s="25"/>
    </row>
    <row r="837" spans="8:8" x14ac:dyDescent="0.25">
      <c r="H837" s="25"/>
    </row>
    <row r="838" spans="8:8" x14ac:dyDescent="0.25">
      <c r="H838" s="25"/>
    </row>
    <row r="839" spans="8:8" x14ac:dyDescent="0.25">
      <c r="H839" s="25"/>
    </row>
    <row r="840" spans="8:8" x14ac:dyDescent="0.25">
      <c r="H840" s="25"/>
    </row>
    <row r="841" spans="8:8" x14ac:dyDescent="0.25">
      <c r="H841" s="25"/>
    </row>
    <row r="842" spans="8:8" x14ac:dyDescent="0.25">
      <c r="H842" s="25"/>
    </row>
    <row r="843" spans="8:8" x14ac:dyDescent="0.25">
      <c r="H843" s="25"/>
    </row>
    <row r="844" spans="8:8" x14ac:dyDescent="0.25">
      <c r="H844" s="25"/>
    </row>
    <row r="845" spans="8:8" x14ac:dyDescent="0.25">
      <c r="H845" s="25"/>
    </row>
    <row r="846" spans="8:8" x14ac:dyDescent="0.25">
      <c r="H846" s="25"/>
    </row>
    <row r="847" spans="8:8" x14ac:dyDescent="0.25">
      <c r="H847" s="25"/>
    </row>
    <row r="848" spans="8:8" x14ac:dyDescent="0.25">
      <c r="H848" s="25"/>
    </row>
    <row r="849" spans="8:8" x14ac:dyDescent="0.25">
      <c r="H849" s="25"/>
    </row>
    <row r="850" spans="8:8" x14ac:dyDescent="0.25">
      <c r="H850" s="25"/>
    </row>
    <row r="851" spans="8:8" x14ac:dyDescent="0.25">
      <c r="H851" s="25"/>
    </row>
    <row r="852" spans="8:8" x14ac:dyDescent="0.25">
      <c r="H852" s="25"/>
    </row>
    <row r="853" spans="8:8" x14ac:dyDescent="0.25">
      <c r="H853" s="25"/>
    </row>
    <row r="854" spans="8:8" x14ac:dyDescent="0.25">
      <c r="H854" s="25"/>
    </row>
    <row r="855" spans="8:8" x14ac:dyDescent="0.25">
      <c r="H855" s="25"/>
    </row>
    <row r="856" spans="8:8" x14ac:dyDescent="0.25">
      <c r="H856" s="25"/>
    </row>
    <row r="857" spans="8:8" x14ac:dyDescent="0.25">
      <c r="H857" s="25"/>
    </row>
    <row r="858" spans="8:8" x14ac:dyDescent="0.25">
      <c r="H858" s="25"/>
    </row>
    <row r="859" spans="8:8" x14ac:dyDescent="0.25">
      <c r="H859" s="25"/>
    </row>
    <row r="860" spans="8:8" x14ac:dyDescent="0.25">
      <c r="H860" s="25"/>
    </row>
    <row r="861" spans="8:8" x14ac:dyDescent="0.25">
      <c r="H861" s="25"/>
    </row>
    <row r="862" spans="8:8" x14ac:dyDescent="0.25">
      <c r="H862" s="25"/>
    </row>
    <row r="863" spans="8:8" x14ac:dyDescent="0.25">
      <c r="H863" s="25"/>
    </row>
    <row r="864" spans="8:8" x14ac:dyDescent="0.25">
      <c r="H864" s="25"/>
    </row>
    <row r="865" spans="8:8" x14ac:dyDescent="0.25">
      <c r="H865" s="25"/>
    </row>
    <row r="866" spans="8:8" x14ac:dyDescent="0.25">
      <c r="H866" s="25"/>
    </row>
    <row r="867" spans="8:8" x14ac:dyDescent="0.25">
      <c r="H867" s="25"/>
    </row>
    <row r="868" spans="8:8" x14ac:dyDescent="0.25">
      <c r="H868" s="25"/>
    </row>
    <row r="869" spans="8:8" x14ac:dyDescent="0.25">
      <c r="H869" s="25"/>
    </row>
    <row r="870" spans="8:8" x14ac:dyDescent="0.25">
      <c r="H870" s="25"/>
    </row>
    <row r="871" spans="8:8" x14ac:dyDescent="0.25">
      <c r="H871" s="25"/>
    </row>
    <row r="872" spans="8:8" x14ac:dyDescent="0.25">
      <c r="H872" s="25"/>
    </row>
    <row r="873" spans="8:8" x14ac:dyDescent="0.25">
      <c r="H873" s="25"/>
    </row>
    <row r="874" spans="8:8" x14ac:dyDescent="0.25">
      <c r="H874" s="25"/>
    </row>
    <row r="875" spans="8:8" x14ac:dyDescent="0.25">
      <c r="H875" s="25"/>
    </row>
    <row r="876" spans="8:8" x14ac:dyDescent="0.25">
      <c r="H876" s="25"/>
    </row>
    <row r="877" spans="8:8" x14ac:dyDescent="0.25">
      <c r="H877" s="25"/>
    </row>
    <row r="878" spans="8:8" x14ac:dyDescent="0.25">
      <c r="H878" s="25"/>
    </row>
    <row r="879" spans="8:8" x14ac:dyDescent="0.25">
      <c r="H879" s="25"/>
    </row>
    <row r="880" spans="8:8" x14ac:dyDescent="0.25">
      <c r="H880" s="25"/>
    </row>
    <row r="881" spans="8:8" x14ac:dyDescent="0.25">
      <c r="H881" s="25"/>
    </row>
    <row r="882" spans="8:8" x14ac:dyDescent="0.25">
      <c r="H882" s="25"/>
    </row>
    <row r="883" spans="8:8" x14ac:dyDescent="0.25">
      <c r="H883" s="25"/>
    </row>
    <row r="884" spans="8:8" x14ac:dyDescent="0.25">
      <c r="H884" s="25"/>
    </row>
    <row r="885" spans="8:8" x14ac:dyDescent="0.25">
      <c r="H885" s="25"/>
    </row>
    <row r="886" spans="8:8" x14ac:dyDescent="0.25">
      <c r="H886" s="25"/>
    </row>
    <row r="887" spans="8:8" x14ac:dyDescent="0.25">
      <c r="H887" s="25"/>
    </row>
    <row r="888" spans="8:8" x14ac:dyDescent="0.25">
      <c r="H888" s="25"/>
    </row>
    <row r="889" spans="8:8" x14ac:dyDescent="0.25">
      <c r="H889" s="25"/>
    </row>
    <row r="890" spans="8:8" x14ac:dyDescent="0.25">
      <c r="H890" s="25"/>
    </row>
    <row r="891" spans="8:8" x14ac:dyDescent="0.25">
      <c r="H891" s="25"/>
    </row>
    <row r="892" spans="8:8" x14ac:dyDescent="0.25">
      <c r="H892" s="25"/>
    </row>
    <row r="893" spans="8:8" x14ac:dyDescent="0.25">
      <c r="H893" s="25"/>
    </row>
    <row r="894" spans="8:8" x14ac:dyDescent="0.25">
      <c r="H894" s="25"/>
    </row>
    <row r="895" spans="8:8" x14ac:dyDescent="0.25">
      <c r="H895" s="25"/>
    </row>
    <row r="896" spans="8:8" x14ac:dyDescent="0.25">
      <c r="H896" s="25"/>
    </row>
    <row r="897" spans="8:8" x14ac:dyDescent="0.25">
      <c r="H897" s="25"/>
    </row>
    <row r="898" spans="8:8" x14ac:dyDescent="0.25">
      <c r="H898" s="25"/>
    </row>
    <row r="899" spans="8:8" x14ac:dyDescent="0.25">
      <c r="H899" s="25"/>
    </row>
    <row r="900" spans="8:8" x14ac:dyDescent="0.25">
      <c r="H900" s="25"/>
    </row>
    <row r="901" spans="8:8" x14ac:dyDescent="0.25">
      <c r="H901" s="25"/>
    </row>
    <row r="902" spans="8:8" x14ac:dyDescent="0.25">
      <c r="H902" s="25"/>
    </row>
    <row r="903" spans="8:8" x14ac:dyDescent="0.25">
      <c r="H903" s="25"/>
    </row>
    <row r="904" spans="8:8" x14ac:dyDescent="0.25">
      <c r="H904" s="25"/>
    </row>
    <row r="905" spans="8:8" x14ac:dyDescent="0.25">
      <c r="H905" s="25"/>
    </row>
    <row r="906" spans="8:8" x14ac:dyDescent="0.25">
      <c r="H906" s="25"/>
    </row>
    <row r="907" spans="8:8" x14ac:dyDescent="0.25">
      <c r="H907" s="25"/>
    </row>
    <row r="908" spans="8:8" x14ac:dyDescent="0.25">
      <c r="H908" s="25"/>
    </row>
    <row r="909" spans="8:8" x14ac:dyDescent="0.25">
      <c r="H909" s="25"/>
    </row>
    <row r="910" spans="8:8" x14ac:dyDescent="0.25">
      <c r="H910" s="25"/>
    </row>
    <row r="911" spans="8:8" x14ac:dyDescent="0.25">
      <c r="H911" s="25"/>
    </row>
    <row r="912" spans="8:8" x14ac:dyDescent="0.25">
      <c r="H912" s="25"/>
    </row>
    <row r="913" spans="8:8" x14ac:dyDescent="0.25">
      <c r="H913" s="25"/>
    </row>
    <row r="914" spans="8:8" x14ac:dyDescent="0.25">
      <c r="H914" s="25"/>
    </row>
    <row r="915" spans="8:8" x14ac:dyDescent="0.25">
      <c r="H915" s="25"/>
    </row>
    <row r="916" spans="8:8" x14ac:dyDescent="0.25">
      <c r="H916" s="25"/>
    </row>
    <row r="917" spans="8:8" x14ac:dyDescent="0.25">
      <c r="H917" s="25"/>
    </row>
    <row r="918" spans="8:8" x14ac:dyDescent="0.25">
      <c r="H918" s="25"/>
    </row>
    <row r="919" spans="8:8" x14ac:dyDescent="0.25">
      <c r="H919" s="25"/>
    </row>
    <row r="920" spans="8:8" x14ac:dyDescent="0.25">
      <c r="H920" s="25"/>
    </row>
    <row r="921" spans="8:8" x14ac:dyDescent="0.25">
      <c r="H921" s="25"/>
    </row>
    <row r="922" spans="8:8" x14ac:dyDescent="0.25">
      <c r="H922" s="25"/>
    </row>
    <row r="923" spans="8:8" x14ac:dyDescent="0.25">
      <c r="H923" s="25"/>
    </row>
    <row r="924" spans="8:8" x14ac:dyDescent="0.25">
      <c r="H924" s="25"/>
    </row>
    <row r="925" spans="8:8" x14ac:dyDescent="0.25">
      <c r="H925" s="25"/>
    </row>
    <row r="926" spans="8:8" x14ac:dyDescent="0.25">
      <c r="H926" s="25"/>
    </row>
    <row r="927" spans="8:8" x14ac:dyDescent="0.25">
      <c r="H927" s="25"/>
    </row>
    <row r="928" spans="8:8" x14ac:dyDescent="0.25">
      <c r="H928" s="25"/>
    </row>
    <row r="929" spans="8:8" x14ac:dyDescent="0.25">
      <c r="H929" s="25"/>
    </row>
    <row r="930" spans="8:8" x14ac:dyDescent="0.25">
      <c r="H930" s="25"/>
    </row>
    <row r="931" spans="8:8" x14ac:dyDescent="0.25">
      <c r="H931" s="25"/>
    </row>
    <row r="932" spans="8:8" x14ac:dyDescent="0.25">
      <c r="H932" s="25"/>
    </row>
    <row r="933" spans="8:8" x14ac:dyDescent="0.25">
      <c r="H933" s="25"/>
    </row>
    <row r="934" spans="8:8" x14ac:dyDescent="0.25">
      <c r="H934" s="25"/>
    </row>
    <row r="935" spans="8:8" x14ac:dyDescent="0.25">
      <c r="H935" s="25"/>
    </row>
    <row r="936" spans="8:8" x14ac:dyDescent="0.25">
      <c r="H936" s="25"/>
    </row>
    <row r="937" spans="8:8" x14ac:dyDescent="0.25">
      <c r="H937" s="25"/>
    </row>
    <row r="938" spans="8:8" x14ac:dyDescent="0.25">
      <c r="H938" s="25"/>
    </row>
    <row r="939" spans="8:8" x14ac:dyDescent="0.25">
      <c r="H939" s="25"/>
    </row>
    <row r="940" spans="8:8" x14ac:dyDescent="0.25">
      <c r="H940" s="25"/>
    </row>
    <row r="941" spans="8:8" x14ac:dyDescent="0.25">
      <c r="H941" s="25"/>
    </row>
    <row r="942" spans="8:8" x14ac:dyDescent="0.25">
      <c r="H942" s="25"/>
    </row>
    <row r="943" spans="8:8" x14ac:dyDescent="0.25">
      <c r="H943" s="25"/>
    </row>
    <row r="944" spans="8:8" x14ac:dyDescent="0.25">
      <c r="H944" s="25"/>
    </row>
    <row r="945" spans="8:8" x14ac:dyDescent="0.25">
      <c r="H945" s="25"/>
    </row>
    <row r="946" spans="8:8" x14ac:dyDescent="0.25">
      <c r="H946" s="25"/>
    </row>
    <row r="947" spans="8:8" x14ac:dyDescent="0.25">
      <c r="H947" s="25"/>
    </row>
    <row r="948" spans="8:8" x14ac:dyDescent="0.25">
      <c r="H948" s="25"/>
    </row>
    <row r="949" spans="8:8" x14ac:dyDescent="0.25">
      <c r="H949" s="25"/>
    </row>
    <row r="950" spans="8:8" x14ac:dyDescent="0.25">
      <c r="H950" s="25"/>
    </row>
    <row r="951" spans="8:8" x14ac:dyDescent="0.25">
      <c r="H951" s="25"/>
    </row>
    <row r="952" spans="8:8" x14ac:dyDescent="0.25">
      <c r="H952" s="25"/>
    </row>
    <row r="953" spans="8:8" x14ac:dyDescent="0.25">
      <c r="H953" s="25"/>
    </row>
    <row r="954" spans="8:8" x14ac:dyDescent="0.25">
      <c r="H954" s="25"/>
    </row>
    <row r="955" spans="8:8" x14ac:dyDescent="0.25">
      <c r="H955" s="25"/>
    </row>
    <row r="956" spans="8:8" x14ac:dyDescent="0.25">
      <c r="H956" s="25"/>
    </row>
    <row r="957" spans="8:8" x14ac:dyDescent="0.25">
      <c r="H957" s="25"/>
    </row>
    <row r="958" spans="8:8" x14ac:dyDescent="0.25">
      <c r="H958" s="25"/>
    </row>
    <row r="959" spans="8:8" x14ac:dyDescent="0.25">
      <c r="H959" s="25"/>
    </row>
    <row r="960" spans="8:8" x14ac:dyDescent="0.25">
      <c r="H960" s="25"/>
    </row>
    <row r="961" spans="8:8" x14ac:dyDescent="0.25">
      <c r="H961" s="25"/>
    </row>
    <row r="962" spans="8:8" x14ac:dyDescent="0.25">
      <c r="H962" s="25"/>
    </row>
    <row r="963" spans="8:8" x14ac:dyDescent="0.25">
      <c r="H963" s="25"/>
    </row>
    <row r="964" spans="8:8" x14ac:dyDescent="0.25">
      <c r="H964" s="25"/>
    </row>
    <row r="965" spans="8:8" x14ac:dyDescent="0.25">
      <c r="H965" s="25"/>
    </row>
    <row r="966" spans="8:8" x14ac:dyDescent="0.25">
      <c r="H966" s="25"/>
    </row>
    <row r="967" spans="8:8" x14ac:dyDescent="0.25">
      <c r="H967" s="25"/>
    </row>
    <row r="968" spans="8:8" x14ac:dyDescent="0.25">
      <c r="H968" s="25"/>
    </row>
    <row r="969" spans="8:8" x14ac:dyDescent="0.25">
      <c r="H969" s="25"/>
    </row>
    <row r="970" spans="8:8" x14ac:dyDescent="0.25">
      <c r="H970" s="25"/>
    </row>
    <row r="971" spans="8:8" x14ac:dyDescent="0.25">
      <c r="H971" s="25"/>
    </row>
    <row r="972" spans="8:8" x14ac:dyDescent="0.25">
      <c r="H972" s="25"/>
    </row>
    <row r="973" spans="8:8" x14ac:dyDescent="0.25">
      <c r="H973" s="25"/>
    </row>
    <row r="974" spans="8:8" x14ac:dyDescent="0.25">
      <c r="H974" s="25"/>
    </row>
    <row r="975" spans="8:8" x14ac:dyDescent="0.25">
      <c r="H975" s="25"/>
    </row>
    <row r="976" spans="8:8" x14ac:dyDescent="0.25">
      <c r="H976" s="25"/>
    </row>
    <row r="977" spans="8:8" x14ac:dyDescent="0.25">
      <c r="H977" s="25"/>
    </row>
    <row r="978" spans="8:8" x14ac:dyDescent="0.25">
      <c r="H978" s="25"/>
    </row>
    <row r="979" spans="8:8" x14ac:dyDescent="0.25">
      <c r="H979" s="25"/>
    </row>
    <row r="980" spans="8:8" x14ac:dyDescent="0.25">
      <c r="H980" s="25"/>
    </row>
    <row r="981" spans="8:8" x14ac:dyDescent="0.25">
      <c r="H981" s="25"/>
    </row>
    <row r="982" spans="8:8" x14ac:dyDescent="0.25">
      <c r="H982" s="25"/>
    </row>
    <row r="983" spans="8:8" x14ac:dyDescent="0.25">
      <c r="H983" s="25"/>
    </row>
    <row r="984" spans="8:8" x14ac:dyDescent="0.25">
      <c r="H984" s="25"/>
    </row>
    <row r="985" spans="8:8" x14ac:dyDescent="0.25">
      <c r="H985" s="25"/>
    </row>
    <row r="986" spans="8:8" x14ac:dyDescent="0.25">
      <c r="H986" s="25"/>
    </row>
    <row r="987" spans="8:8" x14ac:dyDescent="0.25">
      <c r="H987" s="25"/>
    </row>
    <row r="988" spans="8:8" x14ac:dyDescent="0.25">
      <c r="H988" s="25"/>
    </row>
    <row r="989" spans="8:8" x14ac:dyDescent="0.25">
      <c r="H989" s="25"/>
    </row>
    <row r="990" spans="8:8" x14ac:dyDescent="0.25">
      <c r="H990" s="25"/>
    </row>
    <row r="991" spans="8:8" x14ac:dyDescent="0.25">
      <c r="H991" s="25"/>
    </row>
    <row r="992" spans="8:8" x14ac:dyDescent="0.25">
      <c r="H992" s="25"/>
    </row>
    <row r="993" spans="8:8" x14ac:dyDescent="0.25">
      <c r="H993" s="25"/>
    </row>
    <row r="994" spans="8:8" x14ac:dyDescent="0.25">
      <c r="H994" s="25"/>
    </row>
    <row r="995" spans="8:8" x14ac:dyDescent="0.25">
      <c r="H995" s="25"/>
    </row>
    <row r="996" spans="8:8" x14ac:dyDescent="0.25">
      <c r="H996" s="25"/>
    </row>
    <row r="997" spans="8:8" x14ac:dyDescent="0.25">
      <c r="H997" s="25"/>
    </row>
    <row r="998" spans="8:8" x14ac:dyDescent="0.25">
      <c r="H998" s="25"/>
    </row>
    <row r="999" spans="8:8" x14ac:dyDescent="0.25">
      <c r="H999" s="25"/>
    </row>
    <row r="1000" spans="8:8" x14ac:dyDescent="0.25">
      <c r="H1000" s="25"/>
    </row>
    <row r="1001" spans="8:8" x14ac:dyDescent="0.25">
      <c r="H1001" s="25"/>
    </row>
    <row r="1002" spans="8:8" x14ac:dyDescent="0.25">
      <c r="H1002" s="25"/>
    </row>
    <row r="1003" spans="8:8" x14ac:dyDescent="0.25">
      <c r="H1003" s="25"/>
    </row>
    <row r="1004" spans="8:8" x14ac:dyDescent="0.25">
      <c r="H1004" s="25"/>
    </row>
    <row r="1005" spans="8:8" x14ac:dyDescent="0.25">
      <c r="H1005" s="25"/>
    </row>
    <row r="1006" spans="8:8" x14ac:dyDescent="0.25">
      <c r="H1006" s="25"/>
    </row>
    <row r="1007" spans="8:8" x14ac:dyDescent="0.25">
      <c r="H1007" s="25"/>
    </row>
    <row r="1008" spans="8:8" x14ac:dyDescent="0.25">
      <c r="H1008" s="25"/>
    </row>
    <row r="1009" spans="8:8" x14ac:dyDescent="0.25">
      <c r="H1009" s="25"/>
    </row>
    <row r="1010" spans="8:8" x14ac:dyDescent="0.25">
      <c r="H1010" s="25"/>
    </row>
    <row r="1011" spans="8:8" x14ac:dyDescent="0.25">
      <c r="H1011" s="25"/>
    </row>
    <row r="1012" spans="8:8" x14ac:dyDescent="0.25">
      <c r="H1012" s="25"/>
    </row>
    <row r="1013" spans="8:8" x14ac:dyDescent="0.25">
      <c r="H1013" s="25"/>
    </row>
    <row r="1014" spans="8:8" x14ac:dyDescent="0.25">
      <c r="H1014" s="25"/>
    </row>
    <row r="1015" spans="8:8" x14ac:dyDescent="0.25">
      <c r="H1015" s="25"/>
    </row>
    <row r="1016" spans="8:8" x14ac:dyDescent="0.25">
      <c r="H1016" s="25"/>
    </row>
    <row r="1017" spans="8:8" x14ac:dyDescent="0.25">
      <c r="H1017" s="25"/>
    </row>
    <row r="1018" spans="8:8" x14ac:dyDescent="0.25">
      <c r="H1018" s="25"/>
    </row>
    <row r="1019" spans="8:8" x14ac:dyDescent="0.25">
      <c r="H1019" s="25"/>
    </row>
    <row r="1020" spans="8:8" x14ac:dyDescent="0.25">
      <c r="H1020" s="25"/>
    </row>
    <row r="1021" spans="8:8" x14ac:dyDescent="0.25">
      <c r="H1021" s="25"/>
    </row>
    <row r="1022" spans="8:8" x14ac:dyDescent="0.25">
      <c r="H1022" s="25"/>
    </row>
    <row r="1023" spans="8:8" x14ac:dyDescent="0.25">
      <c r="H1023" s="25"/>
    </row>
    <row r="1024" spans="8:8" x14ac:dyDescent="0.25">
      <c r="H1024" s="25"/>
    </row>
    <row r="1025" spans="8:8" x14ac:dyDescent="0.25">
      <c r="H1025" s="25"/>
    </row>
    <row r="1026" spans="8:8" x14ac:dyDescent="0.25">
      <c r="H1026" s="25"/>
    </row>
    <row r="1027" spans="8:8" x14ac:dyDescent="0.25">
      <c r="H1027" s="25"/>
    </row>
    <row r="1028" spans="8:8" x14ac:dyDescent="0.25">
      <c r="H1028" s="25"/>
    </row>
    <row r="1029" spans="8:8" x14ac:dyDescent="0.25">
      <c r="H1029" s="25"/>
    </row>
    <row r="1030" spans="8:8" x14ac:dyDescent="0.25">
      <c r="H1030" s="25"/>
    </row>
    <row r="1031" spans="8:8" x14ac:dyDescent="0.25">
      <c r="H1031" s="25"/>
    </row>
    <row r="1032" spans="8:8" x14ac:dyDescent="0.25">
      <c r="H1032" s="25"/>
    </row>
    <row r="1033" spans="8:8" x14ac:dyDescent="0.25">
      <c r="H1033" s="25"/>
    </row>
    <row r="1034" spans="8:8" x14ac:dyDescent="0.25">
      <c r="H1034" s="25"/>
    </row>
    <row r="1035" spans="8:8" x14ac:dyDescent="0.25">
      <c r="H1035" s="25"/>
    </row>
    <row r="1036" spans="8:8" x14ac:dyDescent="0.25">
      <c r="H1036" s="25"/>
    </row>
    <row r="1037" spans="8:8" x14ac:dyDescent="0.25">
      <c r="H1037" s="25"/>
    </row>
    <row r="1038" spans="8:8" x14ac:dyDescent="0.25">
      <c r="H1038" s="25"/>
    </row>
    <row r="1039" spans="8:8" x14ac:dyDescent="0.25">
      <c r="H1039" s="25"/>
    </row>
    <row r="1040" spans="8:8" x14ac:dyDescent="0.25">
      <c r="H1040" s="25"/>
    </row>
    <row r="1041" spans="8:8" x14ac:dyDescent="0.25">
      <c r="H1041" s="25"/>
    </row>
    <row r="1042" spans="8:8" x14ac:dyDescent="0.25">
      <c r="H1042" s="25"/>
    </row>
    <row r="1043" spans="8:8" x14ac:dyDescent="0.25">
      <c r="H1043" s="25"/>
    </row>
    <row r="1044" spans="8:8" x14ac:dyDescent="0.25">
      <c r="H1044" s="25"/>
    </row>
    <row r="1045" spans="8:8" x14ac:dyDescent="0.25">
      <c r="H1045" s="25"/>
    </row>
    <row r="1046" spans="8:8" x14ac:dyDescent="0.25">
      <c r="H1046" s="25"/>
    </row>
    <row r="1047" spans="8:8" x14ac:dyDescent="0.25">
      <c r="H1047" s="25"/>
    </row>
    <row r="1048" spans="8:8" x14ac:dyDescent="0.25">
      <c r="H1048" s="25"/>
    </row>
    <row r="1049" spans="8:8" x14ac:dyDescent="0.25">
      <c r="H1049" s="25"/>
    </row>
    <row r="1050" spans="8:8" x14ac:dyDescent="0.25">
      <c r="H1050" s="25"/>
    </row>
    <row r="1051" spans="8:8" x14ac:dyDescent="0.25">
      <c r="H1051" s="25"/>
    </row>
    <row r="1052" spans="8:8" x14ac:dyDescent="0.25">
      <c r="H1052" s="25"/>
    </row>
    <row r="1053" spans="8:8" x14ac:dyDescent="0.25">
      <c r="H1053" s="25"/>
    </row>
    <row r="1054" spans="8:8" x14ac:dyDescent="0.25">
      <c r="H1054" s="25"/>
    </row>
    <row r="1055" spans="8:8" x14ac:dyDescent="0.25">
      <c r="H1055" s="25"/>
    </row>
    <row r="1056" spans="8:8" x14ac:dyDescent="0.25">
      <c r="H1056" s="25"/>
    </row>
    <row r="1057" spans="8:8" x14ac:dyDescent="0.25">
      <c r="H1057" s="25"/>
    </row>
    <row r="1058" spans="8:8" x14ac:dyDescent="0.25">
      <c r="H1058" s="25"/>
    </row>
    <row r="1059" spans="8:8" x14ac:dyDescent="0.25">
      <c r="H1059" s="25"/>
    </row>
    <row r="1060" spans="8:8" x14ac:dyDescent="0.25">
      <c r="H1060" s="25"/>
    </row>
    <row r="1061" spans="8:8" x14ac:dyDescent="0.25">
      <c r="H1061" s="25"/>
    </row>
    <row r="1062" spans="8:8" x14ac:dyDescent="0.25">
      <c r="H1062" s="25"/>
    </row>
    <row r="1063" spans="8:8" x14ac:dyDescent="0.25">
      <c r="H1063" s="25"/>
    </row>
    <row r="1064" spans="8:8" x14ac:dyDescent="0.25">
      <c r="H1064" s="25"/>
    </row>
    <row r="1065" spans="8:8" x14ac:dyDescent="0.25">
      <c r="H1065" s="25"/>
    </row>
    <row r="1066" spans="8:8" x14ac:dyDescent="0.25">
      <c r="H1066" s="25"/>
    </row>
    <row r="1067" spans="8:8" x14ac:dyDescent="0.25">
      <c r="H1067" s="25"/>
    </row>
    <row r="1068" spans="8:8" x14ac:dyDescent="0.25">
      <c r="H1068" s="25"/>
    </row>
    <row r="1069" spans="8:8" x14ac:dyDescent="0.25">
      <c r="H1069" s="25"/>
    </row>
    <row r="1070" spans="8:8" x14ac:dyDescent="0.25">
      <c r="H1070" s="25"/>
    </row>
    <row r="1071" spans="8:8" x14ac:dyDescent="0.25">
      <c r="H1071" s="25"/>
    </row>
    <row r="1072" spans="8:8" x14ac:dyDescent="0.25">
      <c r="H1072" s="25"/>
    </row>
    <row r="1073" spans="8:8" x14ac:dyDescent="0.25">
      <c r="H1073" s="25"/>
    </row>
    <row r="1074" spans="8:8" x14ac:dyDescent="0.25">
      <c r="H1074" s="25"/>
    </row>
    <row r="1075" spans="8:8" x14ac:dyDescent="0.25">
      <c r="H1075" s="25"/>
    </row>
    <row r="1076" spans="8:8" x14ac:dyDescent="0.25">
      <c r="H1076" s="25"/>
    </row>
    <row r="1077" spans="8:8" x14ac:dyDescent="0.25">
      <c r="H1077" s="25"/>
    </row>
    <row r="1078" spans="8:8" x14ac:dyDescent="0.25">
      <c r="H1078" s="25"/>
    </row>
    <row r="1079" spans="8:8" x14ac:dyDescent="0.25">
      <c r="H1079" s="25"/>
    </row>
    <row r="1080" spans="8:8" x14ac:dyDescent="0.25">
      <c r="H1080" s="25"/>
    </row>
    <row r="1081" spans="8:8" x14ac:dyDescent="0.25">
      <c r="H1081" s="25"/>
    </row>
    <row r="1082" spans="8:8" x14ac:dyDescent="0.25">
      <c r="H1082" s="25"/>
    </row>
    <row r="1083" spans="8:8" x14ac:dyDescent="0.25">
      <c r="H1083" s="25"/>
    </row>
    <row r="1084" spans="8:8" x14ac:dyDescent="0.25">
      <c r="H1084" s="25"/>
    </row>
    <row r="1085" spans="8:8" x14ac:dyDescent="0.25">
      <c r="H1085" s="25"/>
    </row>
    <row r="1086" spans="8:8" x14ac:dyDescent="0.25">
      <c r="H1086" s="25"/>
    </row>
    <row r="1087" spans="8:8" x14ac:dyDescent="0.25">
      <c r="H1087" s="25"/>
    </row>
    <row r="1088" spans="8:8" x14ac:dyDescent="0.25">
      <c r="H1088" s="25"/>
    </row>
    <row r="1089" spans="8:8" x14ac:dyDescent="0.25">
      <c r="H1089" s="25"/>
    </row>
    <row r="1090" spans="8:8" x14ac:dyDescent="0.25">
      <c r="H1090" s="25"/>
    </row>
    <row r="1091" spans="8:8" x14ac:dyDescent="0.25">
      <c r="H1091" s="25"/>
    </row>
    <row r="1092" spans="8:8" x14ac:dyDescent="0.25">
      <c r="H1092" s="25"/>
    </row>
    <row r="1093" spans="8:8" x14ac:dyDescent="0.25">
      <c r="H1093" s="25"/>
    </row>
    <row r="1094" spans="8:8" x14ac:dyDescent="0.25">
      <c r="H1094" s="25"/>
    </row>
    <row r="1095" spans="8:8" x14ac:dyDescent="0.25">
      <c r="H1095" s="25"/>
    </row>
    <row r="1096" spans="8:8" x14ac:dyDescent="0.25">
      <c r="H1096" s="25"/>
    </row>
    <row r="1097" spans="8:8" x14ac:dyDescent="0.25">
      <c r="H1097" s="25"/>
    </row>
    <row r="1098" spans="8:8" x14ac:dyDescent="0.25">
      <c r="H1098" s="25"/>
    </row>
    <row r="1099" spans="8:8" x14ac:dyDescent="0.25">
      <c r="H1099" s="25"/>
    </row>
    <row r="1100" spans="8:8" x14ac:dyDescent="0.25">
      <c r="H1100" s="25"/>
    </row>
    <row r="1101" spans="8:8" x14ac:dyDescent="0.25">
      <c r="H1101" s="25"/>
    </row>
    <row r="1102" spans="8:8" x14ac:dyDescent="0.25">
      <c r="H1102" s="25"/>
    </row>
    <row r="1103" spans="8:8" x14ac:dyDescent="0.25">
      <c r="H1103" s="25"/>
    </row>
    <row r="1104" spans="8:8" x14ac:dyDescent="0.25">
      <c r="H1104" s="25"/>
    </row>
    <row r="1105" spans="8:8" x14ac:dyDescent="0.25">
      <c r="H1105" s="25"/>
    </row>
    <row r="1106" spans="8:8" x14ac:dyDescent="0.25">
      <c r="H1106" s="25"/>
    </row>
    <row r="1107" spans="8:8" x14ac:dyDescent="0.25">
      <c r="H1107" s="25"/>
    </row>
    <row r="1108" spans="8:8" x14ac:dyDescent="0.25">
      <c r="H1108" s="25"/>
    </row>
    <row r="1109" spans="8:8" x14ac:dyDescent="0.25">
      <c r="H1109" s="25"/>
    </row>
    <row r="1110" spans="8:8" x14ac:dyDescent="0.25">
      <c r="H1110" s="25"/>
    </row>
    <row r="1111" spans="8:8" x14ac:dyDescent="0.25">
      <c r="H1111" s="25"/>
    </row>
    <row r="1112" spans="8:8" x14ac:dyDescent="0.25">
      <c r="H1112" s="25"/>
    </row>
    <row r="1113" spans="8:8" x14ac:dyDescent="0.25">
      <c r="H1113" s="25"/>
    </row>
    <row r="1114" spans="8:8" x14ac:dyDescent="0.25">
      <c r="H1114" s="25"/>
    </row>
    <row r="1115" spans="8:8" x14ac:dyDescent="0.25">
      <c r="H1115" s="25"/>
    </row>
    <row r="1116" spans="8:8" x14ac:dyDescent="0.25">
      <c r="H1116" s="25"/>
    </row>
    <row r="1117" spans="8:8" x14ac:dyDescent="0.25">
      <c r="H1117" s="25"/>
    </row>
    <row r="1118" spans="8:8" x14ac:dyDescent="0.25">
      <c r="H1118" s="25"/>
    </row>
    <row r="1119" spans="8:8" x14ac:dyDescent="0.25">
      <c r="H1119" s="25"/>
    </row>
    <row r="1120" spans="8:8" x14ac:dyDescent="0.25">
      <c r="H1120" s="25"/>
    </row>
    <row r="1121" spans="8:8" x14ac:dyDescent="0.25">
      <c r="H1121" s="25"/>
    </row>
    <row r="1122" spans="8:8" x14ac:dyDescent="0.25">
      <c r="H1122" s="25"/>
    </row>
    <row r="1123" spans="8:8" x14ac:dyDescent="0.25">
      <c r="H1123" s="25"/>
    </row>
    <row r="1124" spans="8:8" x14ac:dyDescent="0.25">
      <c r="H1124" s="25"/>
    </row>
    <row r="1125" spans="8:8" x14ac:dyDescent="0.25">
      <c r="H1125" s="25"/>
    </row>
    <row r="1126" spans="8:8" x14ac:dyDescent="0.25">
      <c r="H1126" s="25"/>
    </row>
    <row r="1127" spans="8:8" x14ac:dyDescent="0.25">
      <c r="H1127" s="25"/>
    </row>
    <row r="1128" spans="8:8" x14ac:dyDescent="0.25">
      <c r="H1128" s="25"/>
    </row>
    <row r="1129" spans="8:8" x14ac:dyDescent="0.25">
      <c r="H1129" s="25"/>
    </row>
    <row r="1130" spans="8:8" x14ac:dyDescent="0.25">
      <c r="H1130" s="25"/>
    </row>
    <row r="1131" spans="8:8" x14ac:dyDescent="0.25">
      <c r="H1131" s="25"/>
    </row>
    <row r="1132" spans="8:8" x14ac:dyDescent="0.25">
      <c r="H1132" s="25"/>
    </row>
    <row r="1133" spans="8:8" x14ac:dyDescent="0.25">
      <c r="H1133" s="25"/>
    </row>
    <row r="1134" spans="8:8" x14ac:dyDescent="0.25">
      <c r="H1134" s="25"/>
    </row>
    <row r="1135" spans="8:8" x14ac:dyDescent="0.25">
      <c r="H1135" s="25"/>
    </row>
    <row r="1136" spans="8:8" x14ac:dyDescent="0.25">
      <c r="H1136" s="25"/>
    </row>
    <row r="1137" spans="8:8" x14ac:dyDescent="0.25">
      <c r="H1137" s="25"/>
    </row>
    <row r="1138" spans="8:8" x14ac:dyDescent="0.25">
      <c r="H1138" s="25"/>
    </row>
    <row r="1139" spans="8:8" x14ac:dyDescent="0.25">
      <c r="H1139" s="25"/>
    </row>
    <row r="1140" spans="8:8" x14ac:dyDescent="0.25">
      <c r="H1140" s="25"/>
    </row>
    <row r="1141" spans="8:8" x14ac:dyDescent="0.25">
      <c r="H1141" s="25"/>
    </row>
    <row r="1142" spans="8:8" x14ac:dyDescent="0.25">
      <c r="H1142" s="25"/>
    </row>
    <row r="1143" spans="8:8" x14ac:dyDescent="0.25">
      <c r="H1143" s="25"/>
    </row>
    <row r="1144" spans="8:8" x14ac:dyDescent="0.25">
      <c r="H1144" s="25"/>
    </row>
    <row r="1145" spans="8:8" x14ac:dyDescent="0.25">
      <c r="H1145" s="25"/>
    </row>
    <row r="1146" spans="8:8" x14ac:dyDescent="0.25">
      <c r="H1146" s="25"/>
    </row>
    <row r="1147" spans="8:8" x14ac:dyDescent="0.25">
      <c r="H1147" s="25"/>
    </row>
    <row r="1148" spans="8:8" x14ac:dyDescent="0.25">
      <c r="H1148" s="25"/>
    </row>
    <row r="1149" spans="8:8" x14ac:dyDescent="0.25">
      <c r="H1149" s="25"/>
    </row>
    <row r="1150" spans="8:8" x14ac:dyDescent="0.25">
      <c r="H1150" s="25"/>
    </row>
    <row r="1151" spans="8:8" x14ac:dyDescent="0.25">
      <c r="H1151" s="25"/>
    </row>
    <row r="1152" spans="8:8" x14ac:dyDescent="0.25">
      <c r="H1152" s="25"/>
    </row>
    <row r="1153" spans="8:8" x14ac:dyDescent="0.25">
      <c r="H1153" s="25"/>
    </row>
    <row r="1154" spans="8:8" x14ac:dyDescent="0.25">
      <c r="H1154" s="25"/>
    </row>
    <row r="1155" spans="8:8" x14ac:dyDescent="0.25">
      <c r="H1155" s="25"/>
    </row>
    <row r="1156" spans="8:8" x14ac:dyDescent="0.25">
      <c r="H1156" s="25"/>
    </row>
    <row r="1157" spans="8:8" x14ac:dyDescent="0.25">
      <c r="H1157" s="25"/>
    </row>
    <row r="1158" spans="8:8" x14ac:dyDescent="0.25">
      <c r="H1158" s="25"/>
    </row>
    <row r="1159" spans="8:8" x14ac:dyDescent="0.25">
      <c r="H1159" s="25"/>
    </row>
    <row r="1160" spans="8:8" x14ac:dyDescent="0.25">
      <c r="H1160" s="25"/>
    </row>
    <row r="1161" spans="8:8" x14ac:dyDescent="0.25">
      <c r="H1161" s="25"/>
    </row>
    <row r="1162" spans="8:8" x14ac:dyDescent="0.25">
      <c r="H1162" s="25"/>
    </row>
    <row r="1163" spans="8:8" x14ac:dyDescent="0.25">
      <c r="H1163" s="25"/>
    </row>
    <row r="1164" spans="8:8" x14ac:dyDescent="0.25">
      <c r="H1164" s="25"/>
    </row>
    <row r="1165" spans="8:8" x14ac:dyDescent="0.25">
      <c r="H1165" s="25"/>
    </row>
    <row r="1166" spans="8:8" x14ac:dyDescent="0.25">
      <c r="H1166" s="25"/>
    </row>
    <row r="1167" spans="8:8" x14ac:dyDescent="0.25">
      <c r="H1167" s="25"/>
    </row>
    <row r="1168" spans="8:8" x14ac:dyDescent="0.25">
      <c r="H1168" s="25"/>
    </row>
    <row r="1169" spans="8:8" x14ac:dyDescent="0.25">
      <c r="H1169" s="25"/>
    </row>
    <row r="1170" spans="8:8" x14ac:dyDescent="0.25">
      <c r="H1170" s="25"/>
    </row>
    <row r="1171" spans="8:8" x14ac:dyDescent="0.25">
      <c r="H1171" s="25"/>
    </row>
    <row r="1172" spans="8:8" x14ac:dyDescent="0.25">
      <c r="H1172" s="25"/>
    </row>
    <row r="1173" spans="8:8" x14ac:dyDescent="0.25">
      <c r="H1173" s="25"/>
    </row>
    <row r="1174" spans="8:8" x14ac:dyDescent="0.25">
      <c r="H1174" s="25"/>
    </row>
    <row r="1175" spans="8:8" x14ac:dyDescent="0.25">
      <c r="H1175" s="25"/>
    </row>
    <row r="1176" spans="8:8" x14ac:dyDescent="0.25">
      <c r="H1176" s="25"/>
    </row>
    <row r="1177" spans="8:8" x14ac:dyDescent="0.25">
      <c r="H1177" s="25"/>
    </row>
    <row r="1178" spans="8:8" x14ac:dyDescent="0.25">
      <c r="H1178" s="25"/>
    </row>
    <row r="1179" spans="8:8" x14ac:dyDescent="0.25">
      <c r="H1179" s="25"/>
    </row>
    <row r="1180" spans="8:8" x14ac:dyDescent="0.25">
      <c r="H1180" s="25"/>
    </row>
    <row r="1181" spans="8:8" x14ac:dyDescent="0.25">
      <c r="H1181" s="25"/>
    </row>
    <row r="1182" spans="8:8" x14ac:dyDescent="0.25">
      <c r="H1182" s="25"/>
    </row>
    <row r="1183" spans="8:8" x14ac:dyDescent="0.25">
      <c r="H1183" s="25"/>
    </row>
    <row r="1184" spans="8:8" x14ac:dyDescent="0.25">
      <c r="H1184" s="25"/>
    </row>
    <row r="1185" spans="8:8" x14ac:dyDescent="0.25">
      <c r="H1185" s="25"/>
    </row>
    <row r="1186" spans="8:8" x14ac:dyDescent="0.25">
      <c r="H1186" s="25"/>
    </row>
    <row r="1187" spans="8:8" x14ac:dyDescent="0.25">
      <c r="H1187" s="25"/>
    </row>
    <row r="1188" spans="8:8" x14ac:dyDescent="0.25">
      <c r="H1188" s="25"/>
    </row>
    <row r="1189" spans="8:8" x14ac:dyDescent="0.25">
      <c r="H1189" s="25"/>
    </row>
    <row r="1190" spans="8:8" x14ac:dyDescent="0.25">
      <c r="H1190" s="25"/>
    </row>
    <row r="1191" spans="8:8" x14ac:dyDescent="0.25">
      <c r="H1191" s="25"/>
    </row>
    <row r="1192" spans="8:8" x14ac:dyDescent="0.25">
      <c r="H1192" s="25"/>
    </row>
    <row r="1193" spans="8:8" x14ac:dyDescent="0.25">
      <c r="H1193" s="25"/>
    </row>
    <row r="1194" spans="8:8" x14ac:dyDescent="0.25">
      <c r="H1194" s="25"/>
    </row>
    <row r="1195" spans="8:8" x14ac:dyDescent="0.25">
      <c r="H1195" s="25"/>
    </row>
    <row r="1196" spans="8:8" x14ac:dyDescent="0.25">
      <c r="H1196" s="25"/>
    </row>
    <row r="1197" spans="8:8" x14ac:dyDescent="0.25">
      <c r="H1197" s="25"/>
    </row>
    <row r="1198" spans="8:8" x14ac:dyDescent="0.25">
      <c r="H1198" s="25"/>
    </row>
    <row r="1199" spans="8:8" x14ac:dyDescent="0.25">
      <c r="H1199" s="25"/>
    </row>
    <row r="1200" spans="8:8" x14ac:dyDescent="0.25">
      <c r="H1200" s="25"/>
    </row>
    <row r="1201" spans="8:8" x14ac:dyDescent="0.25">
      <c r="H1201" s="25"/>
    </row>
    <row r="1202" spans="8:8" x14ac:dyDescent="0.25">
      <c r="H1202" s="25"/>
    </row>
    <row r="1203" spans="8:8" x14ac:dyDescent="0.25">
      <c r="H1203" s="25"/>
    </row>
    <row r="1204" spans="8:8" x14ac:dyDescent="0.25">
      <c r="H1204" s="25"/>
    </row>
    <row r="1205" spans="8:8" x14ac:dyDescent="0.25">
      <c r="H1205" s="25"/>
    </row>
    <row r="1206" spans="8:8" x14ac:dyDescent="0.25">
      <c r="H1206" s="25"/>
    </row>
    <row r="1207" spans="8:8" x14ac:dyDescent="0.25">
      <c r="H1207" s="25"/>
    </row>
    <row r="1208" spans="8:8" x14ac:dyDescent="0.25">
      <c r="H1208" s="25"/>
    </row>
    <row r="1209" spans="8:8" x14ac:dyDescent="0.25">
      <c r="H1209" s="25"/>
    </row>
    <row r="1210" spans="8:8" x14ac:dyDescent="0.25">
      <c r="H1210" s="25"/>
    </row>
    <row r="1211" spans="8:8" x14ac:dyDescent="0.25">
      <c r="H1211" s="25"/>
    </row>
    <row r="1212" spans="8:8" x14ac:dyDescent="0.25">
      <c r="H1212" s="25"/>
    </row>
    <row r="1213" spans="8:8" x14ac:dyDescent="0.25">
      <c r="H1213" s="25"/>
    </row>
    <row r="1214" spans="8:8" x14ac:dyDescent="0.25">
      <c r="H1214" s="25"/>
    </row>
    <row r="1215" spans="8:8" x14ac:dyDescent="0.25">
      <c r="H1215" s="25"/>
    </row>
    <row r="1216" spans="8:8" x14ac:dyDescent="0.25">
      <c r="H1216" s="25"/>
    </row>
    <row r="1217" spans="8:8" x14ac:dyDescent="0.25">
      <c r="H1217" s="25"/>
    </row>
    <row r="1218" spans="8:8" x14ac:dyDescent="0.25">
      <c r="H1218" s="25"/>
    </row>
    <row r="1219" spans="8:8" x14ac:dyDescent="0.25">
      <c r="H1219" s="25"/>
    </row>
    <row r="1220" spans="8:8" x14ac:dyDescent="0.25">
      <c r="H1220" s="25"/>
    </row>
    <row r="1221" spans="8:8" x14ac:dyDescent="0.25">
      <c r="H1221" s="25"/>
    </row>
    <row r="1222" spans="8:8" x14ac:dyDescent="0.25">
      <c r="H1222" s="25"/>
    </row>
    <row r="1223" spans="8:8" x14ac:dyDescent="0.25">
      <c r="H1223" s="25"/>
    </row>
    <row r="1224" spans="8:8" x14ac:dyDescent="0.25">
      <c r="H1224" s="25"/>
    </row>
    <row r="1225" spans="8:8" x14ac:dyDescent="0.25">
      <c r="H1225" s="25"/>
    </row>
    <row r="1226" spans="8:8" x14ac:dyDescent="0.25">
      <c r="H1226" s="25"/>
    </row>
    <row r="1227" spans="8:8" x14ac:dyDescent="0.25">
      <c r="H1227" s="25"/>
    </row>
    <row r="1228" spans="8:8" x14ac:dyDescent="0.25">
      <c r="H1228" s="25"/>
    </row>
    <row r="1229" spans="8:8" x14ac:dyDescent="0.25">
      <c r="H1229" s="25"/>
    </row>
    <row r="1230" spans="8:8" x14ac:dyDescent="0.25">
      <c r="H1230" s="25"/>
    </row>
    <row r="1231" spans="8:8" x14ac:dyDescent="0.25">
      <c r="H1231" s="25"/>
    </row>
    <row r="1232" spans="8:8" x14ac:dyDescent="0.25">
      <c r="H1232" s="25"/>
    </row>
    <row r="1233" spans="8:8" x14ac:dyDescent="0.25">
      <c r="H1233" s="25"/>
    </row>
    <row r="1234" spans="8:8" x14ac:dyDescent="0.25">
      <c r="H1234" s="25"/>
    </row>
    <row r="1235" spans="8:8" x14ac:dyDescent="0.25">
      <c r="H1235" s="25"/>
    </row>
    <row r="1236" spans="8:8" x14ac:dyDescent="0.25">
      <c r="H1236" s="25"/>
    </row>
    <row r="1237" spans="8:8" x14ac:dyDescent="0.25">
      <c r="H1237" s="25"/>
    </row>
    <row r="1238" spans="8:8" x14ac:dyDescent="0.25">
      <c r="H1238" s="25"/>
    </row>
    <row r="1239" spans="8:8" x14ac:dyDescent="0.25">
      <c r="H1239" s="25"/>
    </row>
    <row r="1240" spans="8:8" x14ac:dyDescent="0.25">
      <c r="H1240" s="25"/>
    </row>
    <row r="1241" spans="8:8" x14ac:dyDescent="0.25">
      <c r="H1241" s="25"/>
    </row>
    <row r="1242" spans="8:8" x14ac:dyDescent="0.25">
      <c r="H1242" s="25"/>
    </row>
    <row r="1243" spans="8:8" x14ac:dyDescent="0.25">
      <c r="H1243" s="25"/>
    </row>
    <row r="1244" spans="8:8" x14ac:dyDescent="0.25">
      <c r="H1244" s="25"/>
    </row>
    <row r="1245" spans="8:8" x14ac:dyDescent="0.25">
      <c r="H1245" s="25"/>
    </row>
    <row r="1246" spans="8:8" x14ac:dyDescent="0.25">
      <c r="H1246" s="25"/>
    </row>
    <row r="1247" spans="8:8" x14ac:dyDescent="0.25">
      <c r="H1247" s="25"/>
    </row>
    <row r="1248" spans="8:8" x14ac:dyDescent="0.25">
      <c r="H1248" s="25"/>
    </row>
    <row r="1249" spans="8:8" x14ac:dyDescent="0.25">
      <c r="H1249" s="25"/>
    </row>
    <row r="1250" spans="8:8" x14ac:dyDescent="0.25">
      <c r="H1250" s="25"/>
    </row>
    <row r="1251" spans="8:8" x14ac:dyDescent="0.25">
      <c r="H1251" s="25"/>
    </row>
    <row r="1252" spans="8:8" x14ac:dyDescent="0.25">
      <c r="H1252" s="25"/>
    </row>
    <row r="1253" spans="8:8" x14ac:dyDescent="0.25">
      <c r="H1253" s="25"/>
    </row>
    <row r="1254" spans="8:8" x14ac:dyDescent="0.25">
      <c r="H1254" s="25"/>
    </row>
    <row r="1255" spans="8:8" x14ac:dyDescent="0.25">
      <c r="H1255" s="25"/>
    </row>
    <row r="1256" spans="8:8" x14ac:dyDescent="0.25">
      <c r="H1256" s="25"/>
    </row>
    <row r="1257" spans="8:8" x14ac:dyDescent="0.25">
      <c r="H1257" s="25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tes"/>
  <dimension ref="A1:R442"/>
  <sheetViews>
    <sheetView workbookViewId="0">
      <selection activeCell="I2" sqref="I2"/>
    </sheetView>
  </sheetViews>
  <sheetFormatPr defaultRowHeight="13.2" x14ac:dyDescent="0.25"/>
  <cols>
    <col min="1" max="1" width="10.33203125" style="1" customWidth="1"/>
    <col min="2" max="3" width="12.109375" style="9" customWidth="1"/>
    <col min="4" max="4" width="11.33203125" style="13" customWidth="1"/>
    <col min="5" max="5" width="12.5546875" style="13" customWidth="1"/>
    <col min="6" max="6" width="8.5546875" style="1" customWidth="1"/>
    <col min="7" max="8" width="13.33203125" style="1" customWidth="1"/>
    <col min="9" max="9" width="11.6640625" style="10" customWidth="1"/>
    <col min="10" max="10" width="11.44140625" style="1" customWidth="1"/>
    <col min="11" max="13" width="11.5546875" style="5" customWidth="1"/>
    <col min="14" max="18" width="11.5546875" style="1" customWidth="1"/>
    <col min="19" max="258" width="11.44140625" customWidth="1"/>
  </cols>
  <sheetData>
    <row r="1" spans="1:18" s="15" customFormat="1" x14ac:dyDescent="0.25">
      <c r="A1" s="17" t="s">
        <v>34</v>
      </c>
      <c r="B1" s="17" t="s">
        <v>75</v>
      </c>
      <c r="C1" s="17" t="s">
        <v>128</v>
      </c>
      <c r="D1" s="21" t="s">
        <v>51</v>
      </c>
      <c r="E1" s="21" t="s">
        <v>52</v>
      </c>
      <c r="F1" s="17" t="s">
        <v>41</v>
      </c>
      <c r="G1" s="17" t="s">
        <v>40</v>
      </c>
      <c r="H1" s="17" t="s">
        <v>142</v>
      </c>
      <c r="I1" s="18" t="s">
        <v>183</v>
      </c>
      <c r="J1" s="17" t="s">
        <v>47</v>
      </c>
      <c r="K1" s="14"/>
      <c r="L1" s="14"/>
      <c r="M1" s="14"/>
      <c r="N1" s="14"/>
      <c r="O1" s="14"/>
      <c r="P1" s="14"/>
      <c r="Q1" s="14"/>
      <c r="R1" s="14"/>
    </row>
    <row r="2" spans="1:18" x14ac:dyDescent="0.25">
      <c r="A2" s="1" t="s">
        <v>395</v>
      </c>
      <c r="B2" s="9">
        <v>12</v>
      </c>
      <c r="C2" s="9">
        <v>4</v>
      </c>
      <c r="D2" s="13">
        <v>50.7</v>
      </c>
      <c r="E2" s="13">
        <v>102</v>
      </c>
      <c r="F2" s="1" t="s">
        <v>442</v>
      </c>
      <c r="G2" s="1" t="s">
        <v>443</v>
      </c>
      <c r="I2" s="10">
        <v>905.56</v>
      </c>
      <c r="J2" s="1">
        <v>1</v>
      </c>
    </row>
    <row r="3" spans="1:18" x14ac:dyDescent="0.25">
      <c r="A3" s="1" t="s">
        <v>395</v>
      </c>
      <c r="B3" s="9">
        <v>36</v>
      </c>
      <c r="C3" s="9">
        <v>12</v>
      </c>
      <c r="D3" s="13">
        <v>102</v>
      </c>
      <c r="E3" s="13">
        <v>102</v>
      </c>
      <c r="F3" s="1" t="s">
        <v>442</v>
      </c>
      <c r="G3" s="1" t="s">
        <v>444</v>
      </c>
      <c r="I3" s="10">
        <v>905.56</v>
      </c>
      <c r="J3" s="1">
        <v>1</v>
      </c>
    </row>
    <row r="4" spans="1:18" x14ac:dyDescent="0.25">
      <c r="A4" s="1" t="s">
        <v>395</v>
      </c>
      <c r="B4" s="9">
        <v>24</v>
      </c>
      <c r="C4" s="9">
        <v>8</v>
      </c>
      <c r="D4" s="13">
        <v>102</v>
      </c>
      <c r="E4" s="13">
        <v>127</v>
      </c>
      <c r="F4" s="1" t="s">
        <v>442</v>
      </c>
      <c r="G4" s="1" t="s">
        <v>445</v>
      </c>
      <c r="I4" s="10">
        <v>905.56</v>
      </c>
      <c r="J4" s="1">
        <v>1</v>
      </c>
    </row>
    <row r="5" spans="1:18" x14ac:dyDescent="0.25">
      <c r="A5" s="1" t="s">
        <v>395</v>
      </c>
      <c r="B5" s="9">
        <v>6</v>
      </c>
      <c r="C5" s="9">
        <v>2</v>
      </c>
      <c r="D5" s="13">
        <v>102</v>
      </c>
      <c r="E5" s="13">
        <v>152</v>
      </c>
      <c r="F5" s="1" t="s">
        <v>442</v>
      </c>
      <c r="G5" s="1" t="s">
        <v>446</v>
      </c>
      <c r="I5" s="10">
        <v>905.56</v>
      </c>
      <c r="J5" s="1">
        <v>1</v>
      </c>
    </row>
    <row r="6" spans="1:18" x14ac:dyDescent="0.25">
      <c r="A6" s="1" t="s">
        <v>373</v>
      </c>
      <c r="B6" s="9">
        <v>16</v>
      </c>
      <c r="C6" s="9">
        <v>4</v>
      </c>
      <c r="D6" s="13">
        <v>50.7</v>
      </c>
      <c r="E6" s="13">
        <v>102</v>
      </c>
      <c r="F6" s="1" t="s">
        <v>442</v>
      </c>
      <c r="G6" s="1" t="s">
        <v>443</v>
      </c>
      <c r="I6" s="10">
        <v>905.56</v>
      </c>
      <c r="J6" s="1">
        <v>1</v>
      </c>
    </row>
    <row r="7" spans="1:18" x14ac:dyDescent="0.25">
      <c r="A7" s="1" t="s">
        <v>373</v>
      </c>
      <c r="B7" s="9">
        <v>8</v>
      </c>
      <c r="C7" s="9">
        <v>2</v>
      </c>
      <c r="D7" s="13">
        <v>76</v>
      </c>
      <c r="E7" s="13">
        <v>127</v>
      </c>
      <c r="F7" s="1" t="s">
        <v>442</v>
      </c>
      <c r="G7" s="1" t="s">
        <v>447</v>
      </c>
      <c r="I7" s="10">
        <v>905.56</v>
      </c>
      <c r="J7" s="1">
        <v>1</v>
      </c>
    </row>
    <row r="8" spans="1:18" x14ac:dyDescent="0.25">
      <c r="A8" s="1" t="s">
        <v>373</v>
      </c>
      <c r="B8" s="9">
        <v>16</v>
      </c>
      <c r="C8" s="9">
        <v>4</v>
      </c>
      <c r="D8" s="13">
        <v>76</v>
      </c>
      <c r="E8" s="13">
        <v>203</v>
      </c>
      <c r="F8" s="1" t="s">
        <v>442</v>
      </c>
      <c r="G8" s="1" t="s">
        <v>448</v>
      </c>
      <c r="I8" s="10">
        <v>905.56</v>
      </c>
      <c r="J8" s="1">
        <v>1</v>
      </c>
    </row>
    <row r="9" spans="1:18" x14ac:dyDescent="0.25">
      <c r="A9" s="1" t="s">
        <v>373</v>
      </c>
      <c r="B9" s="9">
        <v>24</v>
      </c>
      <c r="C9" s="9">
        <v>6</v>
      </c>
      <c r="D9" s="13">
        <v>102</v>
      </c>
      <c r="E9" s="13">
        <v>102</v>
      </c>
      <c r="F9" s="1" t="s">
        <v>442</v>
      </c>
      <c r="G9" s="1" t="s">
        <v>444</v>
      </c>
      <c r="I9" s="10">
        <v>905.56</v>
      </c>
      <c r="J9" s="1">
        <v>1</v>
      </c>
    </row>
    <row r="10" spans="1:18" x14ac:dyDescent="0.25">
      <c r="A10" s="1" t="s">
        <v>373</v>
      </c>
      <c r="B10" s="9">
        <v>8</v>
      </c>
      <c r="C10" s="9">
        <v>2</v>
      </c>
      <c r="D10" s="13">
        <v>102</v>
      </c>
      <c r="E10" s="13">
        <v>177</v>
      </c>
      <c r="F10" s="1" t="s">
        <v>442</v>
      </c>
      <c r="G10" s="1" t="s">
        <v>449</v>
      </c>
      <c r="I10" s="10">
        <v>905.56</v>
      </c>
      <c r="J10" s="1">
        <v>1</v>
      </c>
    </row>
    <row r="11" spans="1:18" x14ac:dyDescent="0.25">
      <c r="A11" s="1" t="s">
        <v>382</v>
      </c>
      <c r="B11" s="9">
        <v>12</v>
      </c>
      <c r="C11" s="9">
        <v>6</v>
      </c>
      <c r="D11" s="13">
        <v>50.7</v>
      </c>
      <c r="E11" s="13">
        <v>102</v>
      </c>
      <c r="F11" s="1" t="s">
        <v>442</v>
      </c>
      <c r="G11" s="1" t="s">
        <v>443</v>
      </c>
      <c r="I11" s="10">
        <v>905.56</v>
      </c>
      <c r="J11" s="1">
        <v>1</v>
      </c>
    </row>
    <row r="12" spans="1:18" x14ac:dyDescent="0.25">
      <c r="A12" s="1" t="s">
        <v>382</v>
      </c>
      <c r="B12" s="9">
        <v>12</v>
      </c>
      <c r="C12" s="9">
        <v>6</v>
      </c>
      <c r="D12" s="13">
        <v>102</v>
      </c>
      <c r="E12" s="13">
        <v>102</v>
      </c>
      <c r="F12" s="1" t="s">
        <v>442</v>
      </c>
      <c r="G12" s="1" t="s">
        <v>444</v>
      </c>
      <c r="I12" s="10">
        <v>905.56</v>
      </c>
      <c r="J12" s="1">
        <v>1</v>
      </c>
    </row>
    <row r="13" spans="1:18" x14ac:dyDescent="0.25">
      <c r="A13" s="1" t="s">
        <v>382</v>
      </c>
      <c r="B13" s="9">
        <v>8</v>
      </c>
      <c r="C13" s="9">
        <v>4</v>
      </c>
      <c r="D13" s="13">
        <v>102</v>
      </c>
      <c r="E13" s="13">
        <v>127</v>
      </c>
      <c r="F13" s="1" t="s">
        <v>442</v>
      </c>
      <c r="G13" s="1" t="s">
        <v>445</v>
      </c>
      <c r="I13" s="10">
        <v>905.56</v>
      </c>
      <c r="J13" s="1">
        <v>1</v>
      </c>
    </row>
    <row r="14" spans="1:18" x14ac:dyDescent="0.25">
      <c r="A14" s="1" t="s">
        <v>382</v>
      </c>
      <c r="B14" s="9">
        <v>8</v>
      </c>
      <c r="C14" s="9">
        <v>4</v>
      </c>
      <c r="D14" s="13">
        <v>102</v>
      </c>
      <c r="E14" s="13">
        <v>152</v>
      </c>
      <c r="F14" s="1" t="s">
        <v>442</v>
      </c>
      <c r="G14" s="1" t="s">
        <v>446</v>
      </c>
      <c r="I14" s="10">
        <v>905.56</v>
      </c>
      <c r="J14" s="1">
        <v>1</v>
      </c>
      <c r="K14" s="1"/>
      <c r="L14" s="1"/>
      <c r="M14" s="1"/>
    </row>
    <row r="15" spans="1:18" x14ac:dyDescent="0.25">
      <c r="A15" s="1" t="s">
        <v>382</v>
      </c>
      <c r="B15" s="9">
        <v>12</v>
      </c>
      <c r="C15" s="9">
        <v>6</v>
      </c>
      <c r="D15" s="13">
        <v>102</v>
      </c>
      <c r="E15" s="13">
        <v>177</v>
      </c>
      <c r="F15" s="1" t="s">
        <v>442</v>
      </c>
      <c r="G15" s="1" t="s">
        <v>449</v>
      </c>
      <c r="I15" s="10">
        <v>905.56</v>
      </c>
      <c r="J15" s="1">
        <v>1</v>
      </c>
    </row>
    <row r="16" spans="1:18" x14ac:dyDescent="0.25">
      <c r="A16" s="1" t="s">
        <v>391</v>
      </c>
      <c r="B16" s="9">
        <v>12</v>
      </c>
      <c r="C16" s="9">
        <v>6</v>
      </c>
      <c r="D16" s="13">
        <v>50.7</v>
      </c>
      <c r="E16" s="13">
        <v>102</v>
      </c>
      <c r="F16" s="1" t="s">
        <v>442</v>
      </c>
      <c r="G16" s="1" t="s">
        <v>443</v>
      </c>
      <c r="I16" s="10">
        <v>905.56</v>
      </c>
      <c r="J16" s="1">
        <v>1</v>
      </c>
    </row>
    <row r="17" spans="1:10" x14ac:dyDescent="0.25">
      <c r="A17" s="1" t="s">
        <v>391</v>
      </c>
      <c r="B17" s="9">
        <v>8</v>
      </c>
      <c r="C17" s="9">
        <v>4</v>
      </c>
      <c r="D17" s="13">
        <v>102</v>
      </c>
      <c r="E17" s="13">
        <v>102</v>
      </c>
      <c r="F17" s="1" t="s">
        <v>442</v>
      </c>
      <c r="G17" s="1" t="s">
        <v>444</v>
      </c>
      <c r="I17" s="10">
        <v>905.56</v>
      </c>
      <c r="J17" s="1">
        <v>1</v>
      </c>
    </row>
    <row r="18" spans="1:10" x14ac:dyDescent="0.25">
      <c r="A18" s="1" t="s">
        <v>391</v>
      </c>
      <c r="B18" s="9">
        <v>4</v>
      </c>
      <c r="C18" s="9">
        <v>2</v>
      </c>
      <c r="D18" s="13">
        <v>102</v>
      </c>
      <c r="E18" s="13">
        <v>127</v>
      </c>
      <c r="F18" s="1" t="s">
        <v>442</v>
      </c>
      <c r="G18" s="1" t="s">
        <v>445</v>
      </c>
      <c r="I18" s="10">
        <v>905.56</v>
      </c>
      <c r="J18" s="1">
        <v>1</v>
      </c>
    </row>
    <row r="19" spans="1:10" x14ac:dyDescent="0.25">
      <c r="A19" s="1" t="s">
        <v>391</v>
      </c>
      <c r="B19" s="9">
        <v>8</v>
      </c>
      <c r="C19" s="9">
        <v>4</v>
      </c>
      <c r="D19" s="13">
        <v>102</v>
      </c>
      <c r="E19" s="13">
        <v>152</v>
      </c>
      <c r="F19" s="1" t="s">
        <v>442</v>
      </c>
      <c r="G19" s="1" t="s">
        <v>446</v>
      </c>
      <c r="I19" s="10">
        <v>905.56</v>
      </c>
      <c r="J19" s="1">
        <v>1</v>
      </c>
    </row>
    <row r="20" spans="1:10" x14ac:dyDescent="0.25">
      <c r="A20" s="1" t="s">
        <v>391</v>
      </c>
      <c r="B20" s="9">
        <v>12</v>
      </c>
      <c r="C20" s="9">
        <v>6</v>
      </c>
      <c r="D20" s="13">
        <v>102</v>
      </c>
      <c r="E20" s="13">
        <v>177</v>
      </c>
      <c r="F20" s="1" t="s">
        <v>442</v>
      </c>
      <c r="G20" s="1" t="s">
        <v>449</v>
      </c>
      <c r="I20" s="10">
        <v>905.56</v>
      </c>
      <c r="J20" s="1">
        <v>1</v>
      </c>
    </row>
    <row r="21" spans="1:10" x14ac:dyDescent="0.25">
      <c r="A21" s="1" t="s">
        <v>391</v>
      </c>
      <c r="B21" s="9">
        <v>4</v>
      </c>
      <c r="C21" s="9">
        <v>2</v>
      </c>
      <c r="D21" s="13">
        <v>127</v>
      </c>
      <c r="E21" s="13">
        <v>127</v>
      </c>
      <c r="F21" s="1" t="s">
        <v>442</v>
      </c>
      <c r="G21" s="1" t="s">
        <v>450</v>
      </c>
      <c r="I21" s="10">
        <v>905.56</v>
      </c>
      <c r="J21" s="1">
        <v>1</v>
      </c>
    </row>
    <row r="22" spans="1:10" x14ac:dyDescent="0.25">
      <c r="A22" s="1" t="s">
        <v>391</v>
      </c>
      <c r="B22" s="9">
        <v>4</v>
      </c>
      <c r="C22" s="9">
        <v>2</v>
      </c>
      <c r="D22" s="13">
        <v>127</v>
      </c>
      <c r="E22" s="13">
        <v>152</v>
      </c>
      <c r="F22" s="1" t="s">
        <v>442</v>
      </c>
      <c r="G22" s="1" t="s">
        <v>451</v>
      </c>
      <c r="I22" s="10">
        <v>905.56</v>
      </c>
      <c r="J22" s="1">
        <v>1</v>
      </c>
    </row>
    <row r="23" spans="1:10" x14ac:dyDescent="0.25">
      <c r="A23" s="1" t="s">
        <v>385</v>
      </c>
      <c r="B23" s="9">
        <v>8</v>
      </c>
      <c r="C23" s="9">
        <v>4</v>
      </c>
      <c r="D23" s="13">
        <v>50.7</v>
      </c>
      <c r="E23" s="13">
        <v>102</v>
      </c>
      <c r="F23" s="1" t="s">
        <v>442</v>
      </c>
      <c r="G23" s="1" t="s">
        <v>443</v>
      </c>
      <c r="I23" s="10">
        <v>905.56</v>
      </c>
      <c r="J23" s="1">
        <v>1</v>
      </c>
    </row>
    <row r="24" spans="1:10" x14ac:dyDescent="0.25">
      <c r="A24" s="1" t="s">
        <v>385</v>
      </c>
      <c r="B24" s="9">
        <v>4</v>
      </c>
      <c r="C24" s="9">
        <v>2</v>
      </c>
      <c r="D24" s="13">
        <v>76</v>
      </c>
      <c r="E24" s="13">
        <v>203</v>
      </c>
      <c r="F24" s="1" t="s">
        <v>442</v>
      </c>
      <c r="G24" s="1" t="s">
        <v>448</v>
      </c>
      <c r="I24" s="10">
        <v>905.56</v>
      </c>
      <c r="J24" s="1">
        <v>1</v>
      </c>
    </row>
    <row r="25" spans="1:10" x14ac:dyDescent="0.25">
      <c r="A25" s="1" t="s">
        <v>385</v>
      </c>
      <c r="B25" s="9">
        <v>4</v>
      </c>
      <c r="C25" s="9">
        <v>2</v>
      </c>
      <c r="D25" s="13">
        <v>102</v>
      </c>
      <c r="E25" s="13">
        <v>203</v>
      </c>
      <c r="F25" s="1" t="s">
        <v>442</v>
      </c>
      <c r="G25" s="1" t="s">
        <v>452</v>
      </c>
      <c r="I25" s="10">
        <v>905.55989999999997</v>
      </c>
      <c r="J25" s="1">
        <v>1</v>
      </c>
    </row>
    <row r="26" spans="1:10" x14ac:dyDescent="0.25">
      <c r="A26" s="1" t="s">
        <v>384</v>
      </c>
      <c r="B26" s="9">
        <v>16</v>
      </c>
      <c r="C26" s="9">
        <v>4</v>
      </c>
      <c r="D26" s="13">
        <v>50.7</v>
      </c>
      <c r="E26" s="13">
        <v>102</v>
      </c>
      <c r="F26" s="1" t="s">
        <v>442</v>
      </c>
      <c r="G26" s="1" t="s">
        <v>443</v>
      </c>
      <c r="I26" s="10">
        <v>905.56</v>
      </c>
      <c r="J26" s="1">
        <v>1</v>
      </c>
    </row>
    <row r="27" spans="1:10" x14ac:dyDescent="0.25">
      <c r="A27" s="1" t="s">
        <v>384</v>
      </c>
      <c r="B27" s="9">
        <v>8</v>
      </c>
      <c r="C27" s="9">
        <v>2</v>
      </c>
      <c r="D27" s="13">
        <v>76</v>
      </c>
      <c r="E27" s="13">
        <v>203</v>
      </c>
      <c r="F27" s="1" t="s">
        <v>442</v>
      </c>
      <c r="G27" s="1" t="s">
        <v>448</v>
      </c>
      <c r="I27" s="10">
        <v>905.56</v>
      </c>
      <c r="J27" s="1">
        <v>1</v>
      </c>
    </row>
    <row r="28" spans="1:10" x14ac:dyDescent="0.25">
      <c r="A28" s="1" t="s">
        <v>384</v>
      </c>
      <c r="B28" s="9">
        <v>8</v>
      </c>
      <c r="C28" s="9">
        <v>2</v>
      </c>
      <c r="D28" s="13">
        <v>102</v>
      </c>
      <c r="E28" s="13">
        <v>203</v>
      </c>
      <c r="F28" s="1" t="s">
        <v>442</v>
      </c>
      <c r="G28" s="1" t="s">
        <v>452</v>
      </c>
      <c r="I28" s="10">
        <v>905.55989999999997</v>
      </c>
      <c r="J28" s="1">
        <v>1</v>
      </c>
    </row>
    <row r="29" spans="1:10" x14ac:dyDescent="0.25">
      <c r="A29" s="1" t="s">
        <v>397</v>
      </c>
      <c r="B29" s="9">
        <v>20</v>
      </c>
      <c r="C29" s="9">
        <v>4</v>
      </c>
      <c r="D29" s="13">
        <v>50.7</v>
      </c>
      <c r="E29" s="13">
        <v>102</v>
      </c>
      <c r="F29" s="1" t="s">
        <v>442</v>
      </c>
      <c r="G29" s="1" t="s">
        <v>443</v>
      </c>
      <c r="I29" s="10">
        <v>905.56</v>
      </c>
      <c r="J29" s="1">
        <v>1</v>
      </c>
    </row>
    <row r="30" spans="1:10" x14ac:dyDescent="0.25">
      <c r="A30" s="1" t="s">
        <v>397</v>
      </c>
      <c r="B30" s="9">
        <v>10</v>
      </c>
      <c r="C30" s="9">
        <v>2</v>
      </c>
      <c r="D30" s="13">
        <v>76</v>
      </c>
      <c r="E30" s="13">
        <v>203</v>
      </c>
      <c r="F30" s="1" t="s">
        <v>442</v>
      </c>
      <c r="G30" s="1" t="s">
        <v>448</v>
      </c>
      <c r="I30" s="10">
        <v>905.56</v>
      </c>
      <c r="J30" s="1">
        <v>1</v>
      </c>
    </row>
    <row r="31" spans="1:10" x14ac:dyDescent="0.25">
      <c r="A31" s="1" t="s">
        <v>397</v>
      </c>
      <c r="B31" s="9">
        <v>10</v>
      </c>
      <c r="C31" s="9">
        <v>2</v>
      </c>
      <c r="D31" s="13">
        <v>102</v>
      </c>
      <c r="E31" s="13">
        <v>152</v>
      </c>
      <c r="F31" s="1" t="s">
        <v>442</v>
      </c>
      <c r="G31" s="1" t="s">
        <v>446</v>
      </c>
      <c r="I31" s="10">
        <v>905.56</v>
      </c>
      <c r="J31" s="1">
        <v>1</v>
      </c>
    </row>
    <row r="32" spans="1:10" x14ac:dyDescent="0.25">
      <c r="A32" s="1" t="s">
        <v>387</v>
      </c>
      <c r="B32" s="9">
        <v>6</v>
      </c>
      <c r="C32" s="9">
        <v>2</v>
      </c>
      <c r="D32" s="13">
        <v>76</v>
      </c>
      <c r="E32" s="13">
        <v>102</v>
      </c>
      <c r="F32" s="1" t="s">
        <v>442</v>
      </c>
      <c r="G32" s="1" t="s">
        <v>453</v>
      </c>
      <c r="I32" s="10">
        <v>905.56</v>
      </c>
      <c r="J32" s="1">
        <v>1</v>
      </c>
    </row>
    <row r="33" spans="1:14" x14ac:dyDescent="0.25">
      <c r="A33" s="1" t="s">
        <v>388</v>
      </c>
      <c r="B33" s="9">
        <v>6</v>
      </c>
      <c r="C33" s="9">
        <v>2</v>
      </c>
      <c r="D33" s="13">
        <v>76</v>
      </c>
      <c r="E33" s="13">
        <v>102</v>
      </c>
      <c r="F33" s="1" t="s">
        <v>442</v>
      </c>
      <c r="G33" s="1" t="s">
        <v>453</v>
      </c>
      <c r="I33" s="10">
        <v>905.56</v>
      </c>
      <c r="J33" s="1">
        <v>1</v>
      </c>
    </row>
    <row r="34" spans="1:14" x14ac:dyDescent="0.25">
      <c r="A34" s="1" t="s">
        <v>393</v>
      </c>
      <c r="B34" s="9">
        <v>2</v>
      </c>
      <c r="C34" s="9">
        <v>2</v>
      </c>
      <c r="D34" s="13">
        <v>76</v>
      </c>
      <c r="E34" s="13">
        <v>152</v>
      </c>
      <c r="F34" s="1" t="s">
        <v>442</v>
      </c>
      <c r="G34" s="1" t="s">
        <v>454</v>
      </c>
      <c r="I34" s="10">
        <v>905.56</v>
      </c>
      <c r="J34" s="1">
        <v>1</v>
      </c>
    </row>
    <row r="35" spans="1:14" x14ac:dyDescent="0.25">
      <c r="A35" s="1" t="s">
        <v>394</v>
      </c>
      <c r="B35" s="9">
        <v>2</v>
      </c>
      <c r="C35" s="9">
        <v>2</v>
      </c>
      <c r="D35" s="13">
        <v>76</v>
      </c>
      <c r="E35" s="13">
        <v>152</v>
      </c>
      <c r="F35" s="1" t="s">
        <v>442</v>
      </c>
      <c r="G35" s="1" t="s">
        <v>454</v>
      </c>
      <c r="I35" s="10">
        <v>905.56</v>
      </c>
      <c r="J35" s="1">
        <v>1</v>
      </c>
    </row>
    <row r="36" spans="1:14" x14ac:dyDescent="0.25">
      <c r="A36" s="1" t="s">
        <v>399</v>
      </c>
      <c r="B36" s="9">
        <v>4</v>
      </c>
      <c r="C36" s="9">
        <v>2</v>
      </c>
      <c r="D36" s="13">
        <v>76</v>
      </c>
      <c r="E36" s="13">
        <v>127</v>
      </c>
      <c r="F36" s="1" t="s">
        <v>442</v>
      </c>
      <c r="G36" s="1" t="s">
        <v>447</v>
      </c>
      <c r="I36" s="10">
        <v>905.56</v>
      </c>
      <c r="J36" s="1">
        <v>1</v>
      </c>
      <c r="L36" s="6"/>
      <c r="M36" s="6"/>
      <c r="N36" s="7"/>
    </row>
    <row r="37" spans="1:14" x14ac:dyDescent="0.25">
      <c r="A37" s="1" t="s">
        <v>386</v>
      </c>
      <c r="B37" s="9">
        <v>8</v>
      </c>
      <c r="C37" s="9">
        <v>2</v>
      </c>
      <c r="D37" s="13">
        <v>50.7</v>
      </c>
      <c r="E37" s="13">
        <v>102</v>
      </c>
      <c r="F37" s="1" t="s">
        <v>442</v>
      </c>
      <c r="G37" s="1" t="s">
        <v>443</v>
      </c>
      <c r="I37" s="10">
        <v>905.56</v>
      </c>
      <c r="J37" s="1">
        <v>1</v>
      </c>
    </row>
    <row r="38" spans="1:14" x14ac:dyDescent="0.25">
      <c r="A38" s="1" t="s">
        <v>386</v>
      </c>
      <c r="B38" s="9">
        <v>8</v>
      </c>
      <c r="C38" s="9">
        <v>2</v>
      </c>
      <c r="D38" s="13">
        <v>50.7</v>
      </c>
      <c r="E38" s="13">
        <v>127</v>
      </c>
      <c r="F38" s="1" t="s">
        <v>442</v>
      </c>
      <c r="G38" s="1" t="s">
        <v>455</v>
      </c>
      <c r="I38" s="10">
        <v>905.56</v>
      </c>
      <c r="J38" s="1">
        <v>1</v>
      </c>
    </row>
    <row r="39" spans="1:14" x14ac:dyDescent="0.25">
      <c r="A39" s="1" t="s">
        <v>386</v>
      </c>
      <c r="B39" s="9">
        <v>8</v>
      </c>
      <c r="C39" s="9">
        <v>2</v>
      </c>
      <c r="D39" s="13">
        <v>76</v>
      </c>
      <c r="E39" s="13">
        <v>102</v>
      </c>
      <c r="F39" s="1" t="s">
        <v>442</v>
      </c>
      <c r="G39" s="1" t="s">
        <v>453</v>
      </c>
      <c r="I39" s="10">
        <v>905.56</v>
      </c>
      <c r="J39" s="1">
        <v>1</v>
      </c>
    </row>
    <row r="40" spans="1:14" x14ac:dyDescent="0.25">
      <c r="A40" s="1" t="s">
        <v>386</v>
      </c>
      <c r="B40" s="9">
        <v>8</v>
      </c>
      <c r="C40" s="9">
        <v>2</v>
      </c>
      <c r="D40" s="13">
        <v>102</v>
      </c>
      <c r="E40" s="13">
        <v>152</v>
      </c>
      <c r="F40" s="1" t="s">
        <v>442</v>
      </c>
      <c r="G40" s="1" t="s">
        <v>446</v>
      </c>
      <c r="I40" s="10">
        <v>905.56</v>
      </c>
      <c r="J40" s="1">
        <v>1</v>
      </c>
    </row>
    <row r="41" spans="1:14" x14ac:dyDescent="0.25">
      <c r="A41" s="1" t="s">
        <v>398</v>
      </c>
      <c r="B41" s="9">
        <v>4</v>
      </c>
      <c r="C41" s="9">
        <v>2</v>
      </c>
      <c r="D41" s="13">
        <v>50.7</v>
      </c>
      <c r="E41" s="13">
        <v>178</v>
      </c>
      <c r="F41" s="1" t="s">
        <v>442</v>
      </c>
      <c r="G41" s="1" t="s">
        <v>456</v>
      </c>
      <c r="I41" s="10">
        <v>905.56</v>
      </c>
      <c r="J41" s="1">
        <v>1</v>
      </c>
    </row>
    <row r="42" spans="1:14" x14ac:dyDescent="0.25">
      <c r="A42" s="1" t="s">
        <v>398</v>
      </c>
      <c r="B42" s="9">
        <v>4</v>
      </c>
      <c r="C42" s="9">
        <v>2</v>
      </c>
      <c r="D42" s="13">
        <v>76</v>
      </c>
      <c r="E42" s="13">
        <v>127</v>
      </c>
      <c r="F42" s="1" t="s">
        <v>442</v>
      </c>
      <c r="G42" s="1" t="s">
        <v>447</v>
      </c>
      <c r="I42" s="10">
        <v>905.56</v>
      </c>
      <c r="J42" s="1">
        <v>1</v>
      </c>
    </row>
    <row r="43" spans="1:14" x14ac:dyDescent="0.25">
      <c r="A43" s="1" t="s">
        <v>398</v>
      </c>
      <c r="B43" s="9">
        <v>4</v>
      </c>
      <c r="C43" s="9">
        <v>2</v>
      </c>
      <c r="D43" s="13">
        <v>102</v>
      </c>
      <c r="E43" s="13">
        <v>152</v>
      </c>
      <c r="F43" s="1" t="s">
        <v>442</v>
      </c>
      <c r="G43" s="1" t="s">
        <v>446</v>
      </c>
      <c r="I43" s="10">
        <v>905.56</v>
      </c>
      <c r="J43" s="1">
        <v>1</v>
      </c>
    </row>
    <row r="44" spans="1:14" x14ac:dyDescent="0.25">
      <c r="A44" s="1" t="s">
        <v>364</v>
      </c>
      <c r="B44" s="9">
        <v>32</v>
      </c>
      <c r="C44" s="9">
        <v>4</v>
      </c>
      <c r="D44" s="13">
        <v>50.7</v>
      </c>
      <c r="E44" s="13">
        <v>178</v>
      </c>
      <c r="F44" s="1" t="s">
        <v>442</v>
      </c>
      <c r="G44" s="1" t="s">
        <v>456</v>
      </c>
      <c r="I44" s="10">
        <v>905.56</v>
      </c>
      <c r="J44" s="1">
        <v>1</v>
      </c>
    </row>
    <row r="45" spans="1:14" x14ac:dyDescent="0.25">
      <c r="A45" s="1" t="s">
        <v>364</v>
      </c>
      <c r="B45" s="9">
        <v>48</v>
      </c>
      <c r="C45" s="9">
        <v>6</v>
      </c>
      <c r="D45" s="13">
        <v>76</v>
      </c>
      <c r="E45" s="13">
        <v>102</v>
      </c>
      <c r="F45" s="1" t="s">
        <v>442</v>
      </c>
      <c r="G45" s="1" t="s">
        <v>453</v>
      </c>
      <c r="I45" s="10">
        <v>905.56</v>
      </c>
      <c r="J45" s="1">
        <v>1</v>
      </c>
    </row>
    <row r="46" spans="1:14" x14ac:dyDescent="0.25">
      <c r="A46" s="1" t="s">
        <v>364</v>
      </c>
      <c r="B46" s="9">
        <v>32</v>
      </c>
      <c r="C46" s="9">
        <v>4</v>
      </c>
      <c r="D46" s="13">
        <v>76</v>
      </c>
      <c r="E46" s="13">
        <v>127</v>
      </c>
      <c r="F46" s="1" t="s">
        <v>442</v>
      </c>
      <c r="G46" s="1" t="s">
        <v>447</v>
      </c>
      <c r="I46" s="10">
        <v>905.56</v>
      </c>
      <c r="J46" s="1">
        <v>1</v>
      </c>
    </row>
    <row r="47" spans="1:14" x14ac:dyDescent="0.25">
      <c r="A47" s="1" t="s">
        <v>364</v>
      </c>
      <c r="B47" s="9">
        <v>32</v>
      </c>
      <c r="C47" s="9">
        <v>4</v>
      </c>
      <c r="D47" s="13">
        <v>76</v>
      </c>
      <c r="E47" s="13">
        <v>152</v>
      </c>
      <c r="F47" s="1" t="s">
        <v>442</v>
      </c>
      <c r="G47" s="1" t="s">
        <v>454</v>
      </c>
      <c r="I47" s="10">
        <v>905.56</v>
      </c>
      <c r="J47" s="1">
        <v>1</v>
      </c>
    </row>
    <row r="48" spans="1:14" x14ac:dyDescent="0.25">
      <c r="A48" s="1" t="s">
        <v>364</v>
      </c>
      <c r="B48" s="9">
        <v>16</v>
      </c>
      <c r="C48" s="9">
        <v>2</v>
      </c>
      <c r="D48" s="13">
        <v>102</v>
      </c>
      <c r="E48" s="13">
        <v>177</v>
      </c>
      <c r="F48" s="1" t="s">
        <v>442</v>
      </c>
      <c r="G48" s="1" t="s">
        <v>449</v>
      </c>
      <c r="I48" s="10">
        <v>905.56</v>
      </c>
      <c r="J48" s="1">
        <v>1</v>
      </c>
    </row>
    <row r="49" spans="1:10" x14ac:dyDescent="0.25">
      <c r="A49" s="1" t="s">
        <v>365</v>
      </c>
      <c r="B49" s="9">
        <v>32</v>
      </c>
      <c r="C49" s="9">
        <v>4</v>
      </c>
      <c r="D49" s="13">
        <v>76</v>
      </c>
      <c r="E49" s="13">
        <v>102</v>
      </c>
      <c r="F49" s="1" t="s">
        <v>442</v>
      </c>
      <c r="G49" s="1" t="s">
        <v>453</v>
      </c>
      <c r="I49" s="10">
        <v>905.56</v>
      </c>
      <c r="J49" s="1">
        <v>1</v>
      </c>
    </row>
    <row r="50" spans="1:10" x14ac:dyDescent="0.25">
      <c r="A50" s="1" t="s">
        <v>365</v>
      </c>
      <c r="B50" s="9">
        <v>32</v>
      </c>
      <c r="C50" s="9">
        <v>4</v>
      </c>
      <c r="D50" s="13">
        <v>76</v>
      </c>
      <c r="E50" s="13">
        <v>152</v>
      </c>
      <c r="F50" s="1" t="s">
        <v>442</v>
      </c>
      <c r="G50" s="1" t="s">
        <v>454</v>
      </c>
      <c r="I50" s="10">
        <v>905.56</v>
      </c>
      <c r="J50" s="1">
        <v>1</v>
      </c>
    </row>
    <row r="51" spans="1:10" x14ac:dyDescent="0.25">
      <c r="A51" s="1" t="s">
        <v>365</v>
      </c>
      <c r="B51" s="9">
        <v>48</v>
      </c>
      <c r="C51" s="9">
        <v>6</v>
      </c>
      <c r="D51" s="13">
        <v>102</v>
      </c>
      <c r="E51" s="13">
        <v>177</v>
      </c>
      <c r="F51" s="1" t="s">
        <v>442</v>
      </c>
      <c r="G51" s="1" t="s">
        <v>449</v>
      </c>
      <c r="I51" s="10">
        <v>905.56</v>
      </c>
      <c r="J51" s="1">
        <v>1</v>
      </c>
    </row>
    <row r="52" spans="1:10" x14ac:dyDescent="0.25">
      <c r="A52" s="1" t="s">
        <v>365</v>
      </c>
      <c r="B52" s="9">
        <v>16</v>
      </c>
      <c r="C52" s="9">
        <v>2</v>
      </c>
      <c r="D52" s="13">
        <v>127</v>
      </c>
      <c r="E52" s="13">
        <v>127</v>
      </c>
      <c r="F52" s="1" t="s">
        <v>442</v>
      </c>
      <c r="G52" s="1" t="s">
        <v>450</v>
      </c>
      <c r="I52" s="10">
        <v>905.56</v>
      </c>
      <c r="J52" s="1">
        <v>1</v>
      </c>
    </row>
    <row r="53" spans="1:10" x14ac:dyDescent="0.25">
      <c r="A53" s="1" t="s">
        <v>366</v>
      </c>
      <c r="B53" s="9">
        <v>28</v>
      </c>
      <c r="C53" s="9">
        <v>4</v>
      </c>
      <c r="D53" s="13">
        <v>50.7</v>
      </c>
      <c r="E53" s="13">
        <v>102</v>
      </c>
      <c r="F53" s="1" t="s">
        <v>442</v>
      </c>
      <c r="G53" s="1" t="s">
        <v>443</v>
      </c>
      <c r="I53" s="10">
        <v>905.56</v>
      </c>
      <c r="J53" s="1">
        <v>1</v>
      </c>
    </row>
    <row r="54" spans="1:10" x14ac:dyDescent="0.25">
      <c r="A54" s="1" t="s">
        <v>366</v>
      </c>
      <c r="B54" s="9">
        <v>28</v>
      </c>
      <c r="C54" s="9">
        <v>4</v>
      </c>
      <c r="D54" s="13">
        <v>76</v>
      </c>
      <c r="E54" s="13">
        <v>203</v>
      </c>
      <c r="F54" s="1" t="s">
        <v>442</v>
      </c>
      <c r="G54" s="1" t="s">
        <v>448</v>
      </c>
      <c r="I54" s="10">
        <v>905.56</v>
      </c>
      <c r="J54" s="1">
        <v>1</v>
      </c>
    </row>
    <row r="55" spans="1:10" x14ac:dyDescent="0.25">
      <c r="A55" s="1" t="s">
        <v>366</v>
      </c>
      <c r="B55" s="9">
        <v>28</v>
      </c>
      <c r="C55" s="9">
        <v>4</v>
      </c>
      <c r="D55" s="13">
        <v>102</v>
      </c>
      <c r="E55" s="13">
        <v>102</v>
      </c>
      <c r="F55" s="1" t="s">
        <v>442</v>
      </c>
      <c r="G55" s="1" t="s">
        <v>444</v>
      </c>
      <c r="I55" s="10">
        <v>905.56</v>
      </c>
      <c r="J55" s="1">
        <v>1</v>
      </c>
    </row>
    <row r="56" spans="1:10" x14ac:dyDescent="0.25">
      <c r="A56" s="1" t="s">
        <v>366</v>
      </c>
      <c r="B56" s="9">
        <v>14</v>
      </c>
      <c r="C56" s="9">
        <v>2</v>
      </c>
      <c r="D56" s="13">
        <v>102</v>
      </c>
      <c r="E56" s="13">
        <v>127</v>
      </c>
      <c r="F56" s="1" t="s">
        <v>442</v>
      </c>
      <c r="G56" s="1" t="s">
        <v>445</v>
      </c>
      <c r="I56" s="10">
        <v>905.56</v>
      </c>
      <c r="J56" s="1">
        <v>1</v>
      </c>
    </row>
    <row r="57" spans="1:10" x14ac:dyDescent="0.25">
      <c r="A57" s="1" t="s">
        <v>366</v>
      </c>
      <c r="B57" s="9">
        <v>14</v>
      </c>
      <c r="C57" s="9">
        <v>2</v>
      </c>
      <c r="D57" s="13">
        <v>152</v>
      </c>
      <c r="E57" s="13">
        <v>177</v>
      </c>
      <c r="F57" s="1" t="s">
        <v>442</v>
      </c>
      <c r="G57" s="1" t="s">
        <v>457</v>
      </c>
      <c r="I57" s="10">
        <v>905.56</v>
      </c>
      <c r="J57" s="1">
        <v>1</v>
      </c>
    </row>
    <row r="58" spans="1:10" x14ac:dyDescent="0.25">
      <c r="A58" s="1" t="s">
        <v>367</v>
      </c>
      <c r="B58" s="9">
        <v>24</v>
      </c>
      <c r="C58" s="9">
        <v>4</v>
      </c>
      <c r="D58" s="13">
        <v>50.7</v>
      </c>
      <c r="E58" s="13">
        <v>102</v>
      </c>
      <c r="F58" s="1" t="s">
        <v>442</v>
      </c>
      <c r="G58" s="1" t="s">
        <v>443</v>
      </c>
      <c r="I58" s="10">
        <v>905.56</v>
      </c>
      <c r="J58" s="1">
        <v>1</v>
      </c>
    </row>
    <row r="59" spans="1:10" x14ac:dyDescent="0.25">
      <c r="A59" s="1" t="s">
        <v>367</v>
      </c>
      <c r="B59" s="9">
        <v>12</v>
      </c>
      <c r="C59" s="9">
        <v>2</v>
      </c>
      <c r="D59" s="13">
        <v>76</v>
      </c>
      <c r="E59" s="13">
        <v>102</v>
      </c>
      <c r="F59" s="1" t="s">
        <v>442</v>
      </c>
      <c r="G59" s="1" t="s">
        <v>453</v>
      </c>
      <c r="I59" s="10">
        <v>905.56</v>
      </c>
      <c r="J59" s="1">
        <v>1</v>
      </c>
    </row>
    <row r="60" spans="1:10" x14ac:dyDescent="0.25">
      <c r="A60" s="1" t="s">
        <v>367</v>
      </c>
      <c r="B60" s="9">
        <v>24</v>
      </c>
      <c r="C60" s="9">
        <v>4</v>
      </c>
      <c r="D60" s="13">
        <v>76</v>
      </c>
      <c r="E60" s="13">
        <v>152</v>
      </c>
      <c r="F60" s="1" t="s">
        <v>442</v>
      </c>
      <c r="G60" s="1" t="s">
        <v>454</v>
      </c>
      <c r="I60" s="10">
        <v>905.56</v>
      </c>
      <c r="J60" s="1">
        <v>1</v>
      </c>
    </row>
    <row r="61" spans="1:10" x14ac:dyDescent="0.25">
      <c r="A61" s="1" t="s">
        <v>367</v>
      </c>
      <c r="B61" s="9">
        <v>12</v>
      </c>
      <c r="C61" s="9">
        <v>2</v>
      </c>
      <c r="D61" s="13">
        <v>102</v>
      </c>
      <c r="E61" s="13">
        <v>177</v>
      </c>
      <c r="F61" s="1" t="s">
        <v>442</v>
      </c>
      <c r="G61" s="1" t="s">
        <v>449</v>
      </c>
      <c r="I61" s="10">
        <v>905.56</v>
      </c>
      <c r="J61" s="1">
        <v>1</v>
      </c>
    </row>
    <row r="62" spans="1:10" x14ac:dyDescent="0.25">
      <c r="A62" s="1" t="s">
        <v>368</v>
      </c>
      <c r="B62" s="9">
        <v>20</v>
      </c>
      <c r="C62" s="9">
        <v>4</v>
      </c>
      <c r="D62" s="13">
        <v>50.7</v>
      </c>
      <c r="E62" s="13">
        <v>102</v>
      </c>
      <c r="F62" s="1" t="s">
        <v>442</v>
      </c>
      <c r="G62" s="1" t="s">
        <v>443</v>
      </c>
      <c r="I62" s="10">
        <v>905.56</v>
      </c>
      <c r="J62" s="1">
        <v>1</v>
      </c>
    </row>
    <row r="63" spans="1:10" x14ac:dyDescent="0.25">
      <c r="A63" s="1" t="s">
        <v>368</v>
      </c>
      <c r="B63" s="9">
        <v>20</v>
      </c>
      <c r="C63" s="9">
        <v>4</v>
      </c>
      <c r="D63" s="13">
        <v>76</v>
      </c>
      <c r="E63" s="13">
        <v>152</v>
      </c>
      <c r="F63" s="1" t="s">
        <v>442</v>
      </c>
      <c r="G63" s="1" t="s">
        <v>454</v>
      </c>
      <c r="I63" s="10">
        <v>905.56</v>
      </c>
      <c r="J63" s="1">
        <v>1</v>
      </c>
    </row>
    <row r="64" spans="1:10" x14ac:dyDescent="0.25">
      <c r="A64" s="1" t="s">
        <v>368</v>
      </c>
      <c r="B64" s="9">
        <v>30</v>
      </c>
      <c r="C64" s="9">
        <v>6</v>
      </c>
      <c r="D64" s="13">
        <v>102</v>
      </c>
      <c r="E64" s="13">
        <v>102</v>
      </c>
      <c r="F64" s="1" t="s">
        <v>442</v>
      </c>
      <c r="G64" s="1" t="s">
        <v>444</v>
      </c>
      <c r="I64" s="10">
        <v>905.56</v>
      </c>
      <c r="J64" s="1">
        <v>1</v>
      </c>
    </row>
    <row r="65" spans="1:10" x14ac:dyDescent="0.25">
      <c r="A65" s="1" t="s">
        <v>368</v>
      </c>
      <c r="B65" s="9">
        <v>10</v>
      </c>
      <c r="C65" s="9">
        <v>2</v>
      </c>
      <c r="D65" s="13">
        <v>102</v>
      </c>
      <c r="E65" s="13">
        <v>127</v>
      </c>
      <c r="F65" s="1" t="s">
        <v>442</v>
      </c>
      <c r="G65" s="1" t="s">
        <v>445</v>
      </c>
      <c r="I65" s="10">
        <v>905.56</v>
      </c>
      <c r="J65" s="1">
        <v>1</v>
      </c>
    </row>
    <row r="66" spans="1:10" x14ac:dyDescent="0.25">
      <c r="A66" s="1" t="s">
        <v>369</v>
      </c>
      <c r="B66" s="9">
        <v>4</v>
      </c>
      <c r="C66" s="9">
        <v>4</v>
      </c>
      <c r="D66" s="13">
        <v>50.7</v>
      </c>
      <c r="E66" s="13">
        <v>102</v>
      </c>
      <c r="F66" s="1" t="s">
        <v>442</v>
      </c>
      <c r="G66" s="1" t="s">
        <v>443</v>
      </c>
      <c r="I66" s="10">
        <v>905.56</v>
      </c>
      <c r="J66" s="1">
        <v>1</v>
      </c>
    </row>
    <row r="67" spans="1:10" x14ac:dyDescent="0.25">
      <c r="A67" s="1" t="s">
        <v>369</v>
      </c>
      <c r="B67" s="9">
        <v>2</v>
      </c>
      <c r="C67" s="9">
        <v>2</v>
      </c>
      <c r="D67" s="13">
        <v>76</v>
      </c>
      <c r="E67" s="13">
        <v>152</v>
      </c>
      <c r="F67" s="1" t="s">
        <v>442</v>
      </c>
      <c r="G67" s="1" t="s">
        <v>454</v>
      </c>
      <c r="I67" s="10">
        <v>905.56</v>
      </c>
      <c r="J67" s="1">
        <v>1</v>
      </c>
    </row>
    <row r="68" spans="1:10" x14ac:dyDescent="0.25">
      <c r="A68" s="1" t="s">
        <v>369</v>
      </c>
      <c r="B68" s="9">
        <v>8</v>
      </c>
      <c r="C68" s="9">
        <v>8</v>
      </c>
      <c r="D68" s="13">
        <v>102</v>
      </c>
      <c r="E68" s="13">
        <v>102</v>
      </c>
      <c r="F68" s="1" t="s">
        <v>442</v>
      </c>
      <c r="G68" s="1" t="s">
        <v>444</v>
      </c>
      <c r="I68" s="10">
        <v>905.56</v>
      </c>
      <c r="J68" s="1">
        <v>1</v>
      </c>
    </row>
    <row r="69" spans="1:10" x14ac:dyDescent="0.25">
      <c r="A69" s="1" t="s">
        <v>369</v>
      </c>
      <c r="B69" s="9">
        <v>2</v>
      </c>
      <c r="C69" s="9">
        <v>2</v>
      </c>
      <c r="D69" s="13">
        <v>102</v>
      </c>
      <c r="E69" s="13">
        <v>127</v>
      </c>
      <c r="F69" s="1" t="s">
        <v>442</v>
      </c>
      <c r="G69" s="1" t="s">
        <v>445</v>
      </c>
      <c r="I69" s="10">
        <v>905.56</v>
      </c>
      <c r="J69" s="1">
        <v>1</v>
      </c>
    </row>
    <row r="70" spans="1:10" x14ac:dyDescent="0.25">
      <c r="A70" s="1" t="s">
        <v>370</v>
      </c>
      <c r="B70" s="9">
        <v>20</v>
      </c>
      <c r="C70" s="9">
        <v>4</v>
      </c>
      <c r="D70" s="13">
        <v>50.7</v>
      </c>
      <c r="E70" s="13">
        <v>102</v>
      </c>
      <c r="F70" s="1" t="s">
        <v>442</v>
      </c>
      <c r="G70" s="1" t="s">
        <v>443</v>
      </c>
      <c r="I70" s="10">
        <v>905.56</v>
      </c>
      <c r="J70" s="1">
        <v>1</v>
      </c>
    </row>
    <row r="71" spans="1:10" x14ac:dyDescent="0.25">
      <c r="A71" s="1" t="s">
        <v>370</v>
      </c>
      <c r="B71" s="9">
        <v>10</v>
      </c>
      <c r="C71" s="9">
        <v>2</v>
      </c>
      <c r="D71" s="13">
        <v>76</v>
      </c>
      <c r="E71" s="13">
        <v>127</v>
      </c>
      <c r="F71" s="1" t="s">
        <v>442</v>
      </c>
      <c r="G71" s="1" t="s">
        <v>447</v>
      </c>
      <c r="I71" s="10">
        <v>905.56</v>
      </c>
      <c r="J71" s="1">
        <v>1</v>
      </c>
    </row>
    <row r="72" spans="1:10" x14ac:dyDescent="0.25">
      <c r="A72" s="1" t="s">
        <v>370</v>
      </c>
      <c r="B72" s="9">
        <v>20</v>
      </c>
      <c r="C72" s="9">
        <v>4</v>
      </c>
      <c r="D72" s="13">
        <v>102</v>
      </c>
      <c r="E72" s="13">
        <v>102</v>
      </c>
      <c r="F72" s="1" t="s">
        <v>442</v>
      </c>
      <c r="G72" s="1" t="s">
        <v>444</v>
      </c>
      <c r="I72" s="10">
        <v>905.56</v>
      </c>
      <c r="J72" s="1">
        <v>1</v>
      </c>
    </row>
    <row r="73" spans="1:10" x14ac:dyDescent="0.25">
      <c r="A73" s="1" t="s">
        <v>370</v>
      </c>
      <c r="B73" s="9">
        <v>10</v>
      </c>
      <c r="C73" s="9">
        <v>2</v>
      </c>
      <c r="D73" s="13">
        <v>102</v>
      </c>
      <c r="E73" s="13">
        <v>152</v>
      </c>
      <c r="F73" s="1" t="s">
        <v>442</v>
      </c>
      <c r="G73" s="1" t="s">
        <v>446</v>
      </c>
      <c r="I73" s="10">
        <v>905.56</v>
      </c>
      <c r="J73" s="1">
        <v>1</v>
      </c>
    </row>
    <row r="74" spans="1:10" x14ac:dyDescent="0.25">
      <c r="A74" s="1" t="s">
        <v>371</v>
      </c>
      <c r="B74" s="9">
        <v>32</v>
      </c>
      <c r="C74" s="9">
        <v>4</v>
      </c>
      <c r="D74" s="13">
        <v>50.7</v>
      </c>
      <c r="E74" s="13">
        <v>102</v>
      </c>
      <c r="F74" s="1" t="s">
        <v>442</v>
      </c>
      <c r="G74" s="1" t="s">
        <v>443</v>
      </c>
      <c r="I74" s="10">
        <v>905.56</v>
      </c>
      <c r="J74" s="1">
        <v>1</v>
      </c>
    </row>
    <row r="75" spans="1:10" x14ac:dyDescent="0.25">
      <c r="A75" s="1" t="s">
        <v>371</v>
      </c>
      <c r="B75" s="9">
        <v>16</v>
      </c>
      <c r="C75" s="9">
        <v>2</v>
      </c>
      <c r="D75" s="13">
        <v>76</v>
      </c>
      <c r="E75" s="13">
        <v>152</v>
      </c>
      <c r="F75" s="1" t="s">
        <v>442</v>
      </c>
      <c r="G75" s="1" t="s">
        <v>454</v>
      </c>
      <c r="I75" s="10">
        <v>905.56</v>
      </c>
      <c r="J75" s="1">
        <v>1</v>
      </c>
    </row>
    <row r="76" spans="1:10" x14ac:dyDescent="0.25">
      <c r="A76" s="1" t="s">
        <v>371</v>
      </c>
      <c r="B76" s="9">
        <v>16</v>
      </c>
      <c r="C76" s="9">
        <v>2</v>
      </c>
      <c r="D76" s="13">
        <v>102</v>
      </c>
      <c r="E76" s="13">
        <v>102</v>
      </c>
      <c r="F76" s="1" t="s">
        <v>442</v>
      </c>
      <c r="G76" s="1" t="s">
        <v>444</v>
      </c>
      <c r="I76" s="10">
        <v>905.56</v>
      </c>
      <c r="J76" s="1">
        <v>1</v>
      </c>
    </row>
    <row r="77" spans="1:10" x14ac:dyDescent="0.25">
      <c r="A77" s="1" t="s">
        <v>371</v>
      </c>
      <c r="B77" s="9">
        <v>32</v>
      </c>
      <c r="C77" s="9">
        <v>4</v>
      </c>
      <c r="D77" s="13">
        <v>102</v>
      </c>
      <c r="E77" s="13">
        <v>127</v>
      </c>
      <c r="F77" s="1" t="s">
        <v>442</v>
      </c>
      <c r="G77" s="1" t="s">
        <v>445</v>
      </c>
      <c r="I77" s="10">
        <v>905.56</v>
      </c>
      <c r="J77" s="1">
        <v>1</v>
      </c>
    </row>
    <row r="78" spans="1:10" x14ac:dyDescent="0.25">
      <c r="A78" s="1" t="s">
        <v>372</v>
      </c>
      <c r="B78" s="9">
        <v>28</v>
      </c>
      <c r="C78" s="9">
        <v>4</v>
      </c>
      <c r="D78" s="13">
        <v>50.7</v>
      </c>
      <c r="E78" s="13">
        <v>102</v>
      </c>
      <c r="F78" s="1" t="s">
        <v>442</v>
      </c>
      <c r="G78" s="1" t="s">
        <v>443</v>
      </c>
      <c r="I78" s="10">
        <v>905.56</v>
      </c>
      <c r="J78" s="1">
        <v>1</v>
      </c>
    </row>
    <row r="79" spans="1:10" x14ac:dyDescent="0.25">
      <c r="A79" s="1" t="s">
        <v>372</v>
      </c>
      <c r="B79" s="9">
        <v>14</v>
      </c>
      <c r="C79" s="9">
        <v>2</v>
      </c>
      <c r="D79" s="13">
        <v>76</v>
      </c>
      <c r="E79" s="13">
        <v>152</v>
      </c>
      <c r="F79" s="1" t="s">
        <v>442</v>
      </c>
      <c r="G79" s="1" t="s">
        <v>454</v>
      </c>
      <c r="I79" s="10">
        <v>905.56</v>
      </c>
      <c r="J79" s="1">
        <v>1</v>
      </c>
    </row>
    <row r="80" spans="1:10" x14ac:dyDescent="0.25">
      <c r="A80" s="1" t="s">
        <v>372</v>
      </c>
      <c r="B80" s="9">
        <v>28</v>
      </c>
      <c r="C80" s="9">
        <v>4</v>
      </c>
      <c r="D80" s="13">
        <v>102</v>
      </c>
      <c r="E80" s="13">
        <v>102</v>
      </c>
      <c r="F80" s="1" t="s">
        <v>442</v>
      </c>
      <c r="G80" s="1" t="s">
        <v>444</v>
      </c>
      <c r="I80" s="10">
        <v>905.56</v>
      </c>
      <c r="J80" s="1">
        <v>1</v>
      </c>
    </row>
    <row r="81" spans="1:10" x14ac:dyDescent="0.25">
      <c r="A81" s="1" t="s">
        <v>381</v>
      </c>
      <c r="B81" s="9">
        <v>4</v>
      </c>
      <c r="C81" s="9">
        <v>4</v>
      </c>
      <c r="D81" s="13">
        <v>50.7</v>
      </c>
      <c r="E81" s="13">
        <v>102</v>
      </c>
      <c r="F81" s="1" t="s">
        <v>442</v>
      </c>
      <c r="G81" s="1" t="s">
        <v>443</v>
      </c>
      <c r="I81" s="10">
        <v>905.56</v>
      </c>
      <c r="J81" s="1">
        <v>1</v>
      </c>
    </row>
    <row r="82" spans="1:10" x14ac:dyDescent="0.25">
      <c r="A82" s="1" t="s">
        <v>381</v>
      </c>
      <c r="B82" s="9">
        <v>6</v>
      </c>
      <c r="C82" s="9">
        <v>6</v>
      </c>
      <c r="D82" s="13">
        <v>102</v>
      </c>
      <c r="E82" s="13">
        <v>102</v>
      </c>
      <c r="F82" s="1" t="s">
        <v>442</v>
      </c>
      <c r="G82" s="1" t="s">
        <v>444</v>
      </c>
      <c r="I82" s="10">
        <v>905.56</v>
      </c>
      <c r="J82" s="1">
        <v>1</v>
      </c>
    </row>
    <row r="83" spans="1:10" x14ac:dyDescent="0.25">
      <c r="A83" s="1" t="s">
        <v>381</v>
      </c>
      <c r="B83" s="9">
        <v>6</v>
      </c>
      <c r="C83" s="9">
        <v>6</v>
      </c>
      <c r="D83" s="13">
        <v>102</v>
      </c>
      <c r="E83" s="13">
        <v>127</v>
      </c>
      <c r="F83" s="1" t="s">
        <v>442</v>
      </c>
      <c r="G83" s="1" t="s">
        <v>445</v>
      </c>
      <c r="I83" s="10">
        <v>905.56</v>
      </c>
      <c r="J83" s="1">
        <v>1</v>
      </c>
    </row>
    <row r="84" spans="1:10" x14ac:dyDescent="0.25">
      <c r="A84" s="1" t="s">
        <v>390</v>
      </c>
      <c r="B84" s="9">
        <v>4</v>
      </c>
      <c r="C84" s="9">
        <v>4</v>
      </c>
      <c r="D84" s="13">
        <v>50.7</v>
      </c>
      <c r="E84" s="13">
        <v>102</v>
      </c>
      <c r="F84" s="1" t="s">
        <v>442</v>
      </c>
      <c r="G84" s="1" t="s">
        <v>443</v>
      </c>
      <c r="I84" s="10">
        <v>905.56</v>
      </c>
      <c r="J84" s="1">
        <v>1</v>
      </c>
    </row>
    <row r="85" spans="1:10" x14ac:dyDescent="0.25">
      <c r="A85" s="1" t="s">
        <v>390</v>
      </c>
      <c r="B85" s="9">
        <v>6</v>
      </c>
      <c r="C85" s="9">
        <v>6</v>
      </c>
      <c r="D85" s="13">
        <v>102</v>
      </c>
      <c r="E85" s="13">
        <v>102</v>
      </c>
      <c r="F85" s="1" t="s">
        <v>442</v>
      </c>
      <c r="G85" s="1" t="s">
        <v>444</v>
      </c>
      <c r="I85" s="10">
        <v>905.56</v>
      </c>
      <c r="J85" s="1">
        <v>1</v>
      </c>
    </row>
    <row r="86" spans="1:10" x14ac:dyDescent="0.25">
      <c r="A86" s="1" t="s">
        <v>390</v>
      </c>
      <c r="B86" s="9">
        <v>4</v>
      </c>
      <c r="C86" s="9">
        <v>4</v>
      </c>
      <c r="D86" s="13">
        <v>102</v>
      </c>
      <c r="E86" s="13">
        <v>127</v>
      </c>
      <c r="F86" s="1" t="s">
        <v>442</v>
      </c>
      <c r="G86" s="1" t="s">
        <v>445</v>
      </c>
      <c r="I86" s="10">
        <v>905.56</v>
      </c>
      <c r="J86" s="1">
        <v>1</v>
      </c>
    </row>
    <row r="87" spans="1:10" x14ac:dyDescent="0.25">
      <c r="A87" s="1" t="s">
        <v>390</v>
      </c>
      <c r="B87" s="9">
        <v>2</v>
      </c>
      <c r="C87" s="9">
        <v>2</v>
      </c>
      <c r="D87" s="13">
        <v>127</v>
      </c>
      <c r="E87" s="13">
        <v>152</v>
      </c>
      <c r="F87" s="1" t="s">
        <v>442</v>
      </c>
      <c r="G87" s="1" t="s">
        <v>451</v>
      </c>
      <c r="I87" s="10">
        <v>905.56</v>
      </c>
      <c r="J87" s="1">
        <v>1</v>
      </c>
    </row>
    <row r="88" spans="1:10" x14ac:dyDescent="0.25">
      <c r="A88" s="1" t="s">
        <v>374</v>
      </c>
      <c r="B88" s="9">
        <v>36</v>
      </c>
      <c r="C88" s="9">
        <v>4</v>
      </c>
      <c r="D88" s="13">
        <v>50.7</v>
      </c>
      <c r="E88" s="13">
        <v>102</v>
      </c>
      <c r="F88" s="1" t="s">
        <v>442</v>
      </c>
      <c r="G88" s="1" t="s">
        <v>443</v>
      </c>
      <c r="I88" s="10">
        <v>905.56</v>
      </c>
      <c r="J88" s="1">
        <v>1</v>
      </c>
    </row>
    <row r="89" spans="1:10" x14ac:dyDescent="0.25">
      <c r="A89" s="1" t="s">
        <v>374</v>
      </c>
      <c r="B89" s="9">
        <v>18</v>
      </c>
      <c r="C89" s="9">
        <v>2</v>
      </c>
      <c r="D89" s="13">
        <v>76</v>
      </c>
      <c r="E89" s="13">
        <v>127</v>
      </c>
      <c r="F89" s="1" t="s">
        <v>442</v>
      </c>
      <c r="G89" s="1" t="s">
        <v>447</v>
      </c>
      <c r="I89" s="10">
        <v>905.56</v>
      </c>
      <c r="J89" s="1">
        <v>1</v>
      </c>
    </row>
    <row r="90" spans="1:10" x14ac:dyDescent="0.25">
      <c r="A90" s="1" t="s">
        <v>374</v>
      </c>
      <c r="B90" s="9">
        <v>36</v>
      </c>
      <c r="C90" s="9">
        <v>4</v>
      </c>
      <c r="D90" s="13">
        <v>76</v>
      </c>
      <c r="E90" s="13">
        <v>203</v>
      </c>
      <c r="F90" s="1" t="s">
        <v>442</v>
      </c>
      <c r="G90" s="1" t="s">
        <v>448</v>
      </c>
      <c r="I90" s="10">
        <v>905.56</v>
      </c>
      <c r="J90" s="1">
        <v>1</v>
      </c>
    </row>
    <row r="91" spans="1:10" x14ac:dyDescent="0.25">
      <c r="A91" s="1" t="s">
        <v>374</v>
      </c>
      <c r="B91" s="9">
        <v>18</v>
      </c>
      <c r="C91" s="9">
        <v>2</v>
      </c>
      <c r="D91" s="13">
        <v>102</v>
      </c>
      <c r="E91" s="13">
        <v>102</v>
      </c>
      <c r="F91" s="1" t="s">
        <v>442</v>
      </c>
      <c r="G91" s="1" t="s">
        <v>444</v>
      </c>
      <c r="I91" s="10">
        <v>905.56</v>
      </c>
      <c r="J91" s="1">
        <v>1</v>
      </c>
    </row>
    <row r="92" spans="1:10" x14ac:dyDescent="0.25">
      <c r="A92" s="1" t="s">
        <v>374</v>
      </c>
      <c r="B92" s="9">
        <v>18</v>
      </c>
      <c r="C92" s="9">
        <v>2</v>
      </c>
      <c r="D92" s="13">
        <v>102</v>
      </c>
      <c r="E92" s="13">
        <v>177</v>
      </c>
      <c r="F92" s="1" t="s">
        <v>442</v>
      </c>
      <c r="G92" s="1" t="s">
        <v>449</v>
      </c>
      <c r="I92" s="10">
        <v>905.56</v>
      </c>
      <c r="J92" s="1">
        <v>1</v>
      </c>
    </row>
    <row r="93" spans="1:10" x14ac:dyDescent="0.25">
      <c r="A93" s="1" t="s">
        <v>403</v>
      </c>
      <c r="B93" s="9">
        <v>8</v>
      </c>
      <c r="C93" s="9">
        <v>4</v>
      </c>
      <c r="D93" s="13">
        <v>50.7</v>
      </c>
      <c r="E93" s="13">
        <v>102</v>
      </c>
      <c r="F93" s="1" t="s">
        <v>442</v>
      </c>
      <c r="G93" s="1" t="s">
        <v>443</v>
      </c>
      <c r="I93" s="10">
        <v>905.56</v>
      </c>
      <c r="J93" s="1">
        <v>1</v>
      </c>
    </row>
    <row r="94" spans="1:10" x14ac:dyDescent="0.25">
      <c r="A94" s="1" t="s">
        <v>403</v>
      </c>
      <c r="B94" s="9">
        <v>12</v>
      </c>
      <c r="C94" s="9">
        <v>6</v>
      </c>
      <c r="D94" s="13">
        <v>102</v>
      </c>
      <c r="E94" s="13">
        <v>102</v>
      </c>
      <c r="F94" s="1" t="s">
        <v>442</v>
      </c>
      <c r="G94" s="1" t="s">
        <v>444</v>
      </c>
      <c r="I94" s="10">
        <v>905.56</v>
      </c>
      <c r="J94" s="1">
        <v>1</v>
      </c>
    </row>
    <row r="95" spans="1:10" x14ac:dyDescent="0.25">
      <c r="A95" s="1" t="s">
        <v>403</v>
      </c>
      <c r="B95" s="9">
        <v>8</v>
      </c>
      <c r="C95" s="9">
        <v>4</v>
      </c>
      <c r="D95" s="13">
        <v>102</v>
      </c>
      <c r="E95" s="13">
        <v>127</v>
      </c>
      <c r="F95" s="1" t="s">
        <v>442</v>
      </c>
      <c r="G95" s="1" t="s">
        <v>445</v>
      </c>
      <c r="I95" s="10">
        <v>905.56</v>
      </c>
      <c r="J95" s="1">
        <v>1</v>
      </c>
    </row>
    <row r="96" spans="1:10" x14ac:dyDescent="0.25">
      <c r="A96" s="1" t="s">
        <v>403</v>
      </c>
      <c r="B96" s="9">
        <v>4</v>
      </c>
      <c r="C96" s="9">
        <v>2</v>
      </c>
      <c r="D96" s="13">
        <v>127</v>
      </c>
      <c r="E96" s="13">
        <v>152</v>
      </c>
      <c r="F96" s="1" t="s">
        <v>442</v>
      </c>
      <c r="G96" s="1" t="s">
        <v>451</v>
      </c>
      <c r="I96" s="10">
        <v>905.56</v>
      </c>
      <c r="J96" s="1">
        <v>1</v>
      </c>
    </row>
    <row r="97" spans="1:10" x14ac:dyDescent="0.25">
      <c r="A97" s="1" t="s">
        <v>404</v>
      </c>
      <c r="B97" s="9">
        <v>4</v>
      </c>
      <c r="C97" s="9">
        <v>4</v>
      </c>
      <c r="D97" s="13">
        <v>50.7</v>
      </c>
      <c r="E97" s="13">
        <v>102</v>
      </c>
      <c r="F97" s="1" t="s">
        <v>442</v>
      </c>
      <c r="G97" s="1" t="s">
        <v>443</v>
      </c>
      <c r="I97" s="10">
        <v>905.56</v>
      </c>
      <c r="J97" s="1">
        <v>1</v>
      </c>
    </row>
    <row r="98" spans="1:10" x14ac:dyDescent="0.25">
      <c r="A98" s="1" t="s">
        <v>404</v>
      </c>
      <c r="B98" s="9">
        <v>6</v>
      </c>
      <c r="C98" s="9">
        <v>6</v>
      </c>
      <c r="D98" s="13">
        <v>102</v>
      </c>
      <c r="E98" s="13">
        <v>102</v>
      </c>
      <c r="F98" s="1" t="s">
        <v>442</v>
      </c>
      <c r="G98" s="1" t="s">
        <v>444</v>
      </c>
      <c r="I98" s="10">
        <v>905.56</v>
      </c>
      <c r="J98" s="1">
        <v>1</v>
      </c>
    </row>
    <row r="99" spans="1:10" x14ac:dyDescent="0.25">
      <c r="A99" s="1" t="s">
        <v>404</v>
      </c>
      <c r="B99" s="9">
        <v>6</v>
      </c>
      <c r="C99" s="9">
        <v>6</v>
      </c>
      <c r="D99" s="13">
        <v>102</v>
      </c>
      <c r="E99" s="13">
        <v>127</v>
      </c>
      <c r="F99" s="1" t="s">
        <v>442</v>
      </c>
      <c r="G99" s="1" t="s">
        <v>445</v>
      </c>
      <c r="I99" s="10">
        <v>905.56</v>
      </c>
      <c r="J99" s="1">
        <v>1</v>
      </c>
    </row>
    <row r="100" spans="1:10" x14ac:dyDescent="0.25">
      <c r="A100" s="1" t="s">
        <v>405</v>
      </c>
      <c r="B100" s="9">
        <v>12</v>
      </c>
      <c r="C100" s="9">
        <v>4</v>
      </c>
      <c r="D100" s="13">
        <v>50.7</v>
      </c>
      <c r="E100" s="13">
        <v>102</v>
      </c>
      <c r="F100" s="1" t="s">
        <v>442</v>
      </c>
      <c r="G100" s="1" t="s">
        <v>443</v>
      </c>
      <c r="I100" s="10">
        <v>905.56</v>
      </c>
      <c r="J100" s="1">
        <v>1</v>
      </c>
    </row>
    <row r="101" spans="1:10" x14ac:dyDescent="0.25">
      <c r="A101" s="1" t="s">
        <v>405</v>
      </c>
      <c r="B101" s="9">
        <v>18</v>
      </c>
      <c r="C101" s="9">
        <v>6</v>
      </c>
      <c r="D101" s="13">
        <v>102</v>
      </c>
      <c r="E101" s="13">
        <v>102</v>
      </c>
      <c r="F101" s="1" t="s">
        <v>442</v>
      </c>
      <c r="G101" s="1" t="s">
        <v>444</v>
      </c>
      <c r="I101" s="10">
        <v>905.56</v>
      </c>
      <c r="J101" s="1">
        <v>1</v>
      </c>
    </row>
    <row r="102" spans="1:10" x14ac:dyDescent="0.25">
      <c r="A102" s="1" t="s">
        <v>405</v>
      </c>
      <c r="B102" s="9">
        <v>18</v>
      </c>
      <c r="C102" s="9">
        <v>6</v>
      </c>
      <c r="D102" s="13">
        <v>102</v>
      </c>
      <c r="E102" s="13">
        <v>127</v>
      </c>
      <c r="F102" s="1" t="s">
        <v>442</v>
      </c>
      <c r="G102" s="1" t="s">
        <v>445</v>
      </c>
      <c r="I102" s="10">
        <v>905.56</v>
      </c>
      <c r="J102" s="1">
        <v>1</v>
      </c>
    </row>
    <row r="103" spans="1:10" x14ac:dyDescent="0.25">
      <c r="A103" s="1" t="s">
        <v>406</v>
      </c>
      <c r="B103" s="9">
        <v>24</v>
      </c>
      <c r="C103" s="9">
        <v>4</v>
      </c>
      <c r="D103" s="13">
        <v>50.7</v>
      </c>
      <c r="E103" s="13">
        <v>102</v>
      </c>
      <c r="F103" s="1" t="s">
        <v>442</v>
      </c>
      <c r="G103" s="1" t="s">
        <v>443</v>
      </c>
      <c r="I103" s="10">
        <v>905.56</v>
      </c>
      <c r="J103" s="1">
        <v>1</v>
      </c>
    </row>
    <row r="104" spans="1:10" x14ac:dyDescent="0.25">
      <c r="A104" s="1" t="s">
        <v>406</v>
      </c>
      <c r="B104" s="9">
        <v>36</v>
      </c>
      <c r="C104" s="9">
        <v>6</v>
      </c>
      <c r="D104" s="13">
        <v>102</v>
      </c>
      <c r="E104" s="13">
        <v>102</v>
      </c>
      <c r="F104" s="1" t="s">
        <v>442</v>
      </c>
      <c r="G104" s="1" t="s">
        <v>444</v>
      </c>
      <c r="I104" s="10">
        <v>905.56</v>
      </c>
      <c r="J104" s="1">
        <v>1</v>
      </c>
    </row>
    <row r="105" spans="1:10" x14ac:dyDescent="0.25">
      <c r="A105" s="1" t="s">
        <v>406</v>
      </c>
      <c r="B105" s="9">
        <v>24</v>
      </c>
      <c r="C105" s="9">
        <v>4</v>
      </c>
      <c r="D105" s="13">
        <v>102</v>
      </c>
      <c r="E105" s="13">
        <v>127</v>
      </c>
      <c r="F105" s="1" t="s">
        <v>442</v>
      </c>
      <c r="G105" s="1" t="s">
        <v>445</v>
      </c>
      <c r="I105" s="10">
        <v>905.56</v>
      </c>
      <c r="J105" s="1">
        <v>1</v>
      </c>
    </row>
    <row r="106" spans="1:10" x14ac:dyDescent="0.25">
      <c r="A106" s="1" t="s">
        <v>406</v>
      </c>
      <c r="B106" s="9">
        <v>12</v>
      </c>
      <c r="C106" s="9">
        <v>2</v>
      </c>
      <c r="D106" s="13">
        <v>102</v>
      </c>
      <c r="E106" s="13">
        <v>152</v>
      </c>
      <c r="F106" s="1" t="s">
        <v>442</v>
      </c>
      <c r="G106" s="1" t="s">
        <v>446</v>
      </c>
      <c r="I106" s="10">
        <v>905.56</v>
      </c>
      <c r="J106" s="1">
        <v>1</v>
      </c>
    </row>
    <row r="107" spans="1:10" x14ac:dyDescent="0.25">
      <c r="A107" s="1" t="s">
        <v>407</v>
      </c>
      <c r="B107" s="9">
        <v>36</v>
      </c>
      <c r="C107" s="9">
        <v>4</v>
      </c>
      <c r="D107" s="13">
        <v>50.7</v>
      </c>
      <c r="E107" s="13">
        <v>102</v>
      </c>
      <c r="F107" s="1" t="s">
        <v>442</v>
      </c>
      <c r="G107" s="1" t="s">
        <v>443</v>
      </c>
      <c r="I107" s="10">
        <v>905.56</v>
      </c>
      <c r="J107" s="1">
        <v>1</v>
      </c>
    </row>
    <row r="108" spans="1:10" x14ac:dyDescent="0.25">
      <c r="A108" s="1" t="s">
        <v>407</v>
      </c>
      <c r="B108" s="9">
        <v>54</v>
      </c>
      <c r="C108" s="9">
        <v>6</v>
      </c>
      <c r="D108" s="13">
        <v>102</v>
      </c>
      <c r="E108" s="13">
        <v>102</v>
      </c>
      <c r="F108" s="1" t="s">
        <v>442</v>
      </c>
      <c r="G108" s="1" t="s">
        <v>444</v>
      </c>
      <c r="I108" s="10">
        <v>905.56</v>
      </c>
      <c r="J108" s="1">
        <v>1</v>
      </c>
    </row>
    <row r="109" spans="1:10" x14ac:dyDescent="0.25">
      <c r="A109" s="1" t="s">
        <v>407</v>
      </c>
      <c r="B109" s="9">
        <v>54</v>
      </c>
      <c r="C109" s="9">
        <v>6</v>
      </c>
      <c r="D109" s="13">
        <v>102</v>
      </c>
      <c r="E109" s="13">
        <v>127</v>
      </c>
      <c r="F109" s="1" t="s">
        <v>442</v>
      </c>
      <c r="G109" s="1" t="s">
        <v>445</v>
      </c>
      <c r="I109" s="10">
        <v>905.56</v>
      </c>
      <c r="J109" s="1">
        <v>1</v>
      </c>
    </row>
    <row r="110" spans="1:10" x14ac:dyDescent="0.25">
      <c r="A110" s="1" t="s">
        <v>376</v>
      </c>
      <c r="B110" s="9">
        <v>6</v>
      </c>
      <c r="C110" s="9">
        <v>6</v>
      </c>
      <c r="D110" s="13">
        <v>50.7</v>
      </c>
      <c r="E110" s="13">
        <v>102</v>
      </c>
      <c r="F110" s="1" t="s">
        <v>442</v>
      </c>
      <c r="G110" s="1" t="s">
        <v>443</v>
      </c>
      <c r="I110" s="10">
        <v>905.56</v>
      </c>
      <c r="J110" s="1">
        <v>1</v>
      </c>
    </row>
    <row r="111" spans="1:10" x14ac:dyDescent="0.25">
      <c r="A111" s="1" t="s">
        <v>376</v>
      </c>
      <c r="B111" s="9">
        <v>2</v>
      </c>
      <c r="C111" s="9">
        <v>2</v>
      </c>
      <c r="D111" s="13">
        <v>76</v>
      </c>
      <c r="E111" s="13">
        <v>102</v>
      </c>
      <c r="F111" s="1" t="s">
        <v>442</v>
      </c>
      <c r="G111" s="1" t="s">
        <v>453</v>
      </c>
      <c r="I111" s="10">
        <v>905.56</v>
      </c>
      <c r="J111" s="1">
        <v>1</v>
      </c>
    </row>
    <row r="112" spans="1:10" x14ac:dyDescent="0.25">
      <c r="A112" s="1" t="s">
        <v>375</v>
      </c>
      <c r="B112" s="9">
        <v>14</v>
      </c>
      <c r="C112" s="9">
        <v>14</v>
      </c>
      <c r="D112" s="13">
        <v>50.7</v>
      </c>
      <c r="E112" s="13">
        <v>102</v>
      </c>
      <c r="F112" s="1" t="s">
        <v>442</v>
      </c>
      <c r="G112" s="1" t="s">
        <v>443</v>
      </c>
      <c r="I112" s="10">
        <v>905.56</v>
      </c>
      <c r="J112" s="1">
        <v>1</v>
      </c>
    </row>
    <row r="113" spans="1:10" x14ac:dyDescent="0.25">
      <c r="A113" s="1" t="s">
        <v>375</v>
      </c>
      <c r="B113" s="9">
        <v>2</v>
      </c>
      <c r="C113" s="9">
        <v>2</v>
      </c>
      <c r="D113" s="13">
        <v>76</v>
      </c>
      <c r="E113" s="13">
        <v>102</v>
      </c>
      <c r="F113" s="1" t="s">
        <v>442</v>
      </c>
      <c r="G113" s="1" t="s">
        <v>453</v>
      </c>
      <c r="I113" s="10">
        <v>905.56</v>
      </c>
      <c r="J113" s="1">
        <v>1</v>
      </c>
    </row>
    <row r="114" spans="1:10" x14ac:dyDescent="0.25">
      <c r="A114" s="1" t="s">
        <v>378</v>
      </c>
      <c r="B114" s="9">
        <v>2</v>
      </c>
      <c r="C114" s="9">
        <v>2</v>
      </c>
      <c r="D114" s="13">
        <v>50.7</v>
      </c>
      <c r="E114" s="13">
        <v>102</v>
      </c>
      <c r="F114" s="1" t="s">
        <v>442</v>
      </c>
      <c r="G114" s="1" t="s">
        <v>443</v>
      </c>
      <c r="I114" s="10">
        <v>905.56</v>
      </c>
      <c r="J114" s="1">
        <v>1</v>
      </c>
    </row>
    <row r="115" spans="1:10" x14ac:dyDescent="0.25">
      <c r="A115" s="1" t="s">
        <v>378</v>
      </c>
      <c r="B115" s="9">
        <v>4</v>
      </c>
      <c r="C115" s="9">
        <v>4</v>
      </c>
      <c r="D115" s="13">
        <v>50.7</v>
      </c>
      <c r="E115" s="13">
        <v>127</v>
      </c>
      <c r="F115" s="1" t="s">
        <v>442</v>
      </c>
      <c r="G115" s="1" t="s">
        <v>455</v>
      </c>
      <c r="I115" s="10">
        <v>905.56</v>
      </c>
      <c r="J115" s="1">
        <v>1</v>
      </c>
    </row>
    <row r="116" spans="1:10" x14ac:dyDescent="0.25">
      <c r="A116" s="1" t="s">
        <v>378</v>
      </c>
      <c r="B116" s="9">
        <v>2</v>
      </c>
      <c r="C116" s="9">
        <v>2</v>
      </c>
      <c r="D116" s="13">
        <v>76</v>
      </c>
      <c r="E116" s="13">
        <v>102</v>
      </c>
      <c r="F116" s="1" t="s">
        <v>442</v>
      </c>
      <c r="G116" s="1" t="s">
        <v>453</v>
      </c>
      <c r="I116" s="10">
        <v>905.56</v>
      </c>
      <c r="J116" s="1">
        <v>1</v>
      </c>
    </row>
    <row r="117" spans="1:10" x14ac:dyDescent="0.25">
      <c r="A117" s="1" t="s">
        <v>377</v>
      </c>
      <c r="B117" s="9">
        <v>10</v>
      </c>
      <c r="C117" s="9">
        <v>10</v>
      </c>
      <c r="D117" s="13">
        <v>50.7</v>
      </c>
      <c r="E117" s="13">
        <v>102</v>
      </c>
      <c r="F117" s="1" t="s">
        <v>442</v>
      </c>
      <c r="G117" s="1" t="s">
        <v>443</v>
      </c>
      <c r="I117" s="10">
        <v>905.56</v>
      </c>
      <c r="J117" s="1">
        <v>1</v>
      </c>
    </row>
    <row r="118" spans="1:10" x14ac:dyDescent="0.25">
      <c r="A118" s="1" t="s">
        <v>377</v>
      </c>
      <c r="B118" s="9">
        <v>4</v>
      </c>
      <c r="C118" s="9">
        <v>4</v>
      </c>
      <c r="D118" s="13">
        <v>50.7</v>
      </c>
      <c r="E118" s="13">
        <v>178</v>
      </c>
      <c r="F118" s="1" t="s">
        <v>442</v>
      </c>
      <c r="G118" s="1" t="s">
        <v>456</v>
      </c>
      <c r="I118" s="10">
        <v>905.56</v>
      </c>
      <c r="J118" s="1">
        <v>1</v>
      </c>
    </row>
    <row r="119" spans="1:10" x14ac:dyDescent="0.25">
      <c r="A119" s="1" t="s">
        <v>377</v>
      </c>
      <c r="B119" s="9">
        <v>2</v>
      </c>
      <c r="C119" s="9">
        <v>2</v>
      </c>
      <c r="D119" s="13">
        <v>76</v>
      </c>
      <c r="E119" s="13">
        <v>102</v>
      </c>
      <c r="F119" s="1" t="s">
        <v>442</v>
      </c>
      <c r="G119" s="1" t="s">
        <v>453</v>
      </c>
      <c r="I119" s="10">
        <v>905.56</v>
      </c>
      <c r="J119" s="1">
        <v>1</v>
      </c>
    </row>
    <row r="120" spans="1:10" x14ac:dyDescent="0.25">
      <c r="A120" s="1" t="s">
        <v>380</v>
      </c>
      <c r="B120" s="9">
        <v>6</v>
      </c>
      <c r="C120" s="9">
        <v>6</v>
      </c>
      <c r="D120" s="13">
        <v>50.7</v>
      </c>
      <c r="E120" s="13">
        <v>102</v>
      </c>
      <c r="F120" s="1" t="s">
        <v>442</v>
      </c>
      <c r="G120" s="1" t="s">
        <v>443</v>
      </c>
      <c r="I120" s="10">
        <v>905.56</v>
      </c>
      <c r="J120" s="1">
        <v>1</v>
      </c>
    </row>
    <row r="121" spans="1:10" x14ac:dyDescent="0.25">
      <c r="A121" s="1" t="s">
        <v>380</v>
      </c>
      <c r="B121" s="9">
        <v>2</v>
      </c>
      <c r="C121" s="9">
        <v>2</v>
      </c>
      <c r="D121" s="13">
        <v>76</v>
      </c>
      <c r="E121" s="13">
        <v>102</v>
      </c>
      <c r="F121" s="1" t="s">
        <v>442</v>
      </c>
      <c r="G121" s="1" t="s">
        <v>453</v>
      </c>
      <c r="I121" s="10">
        <v>905.56</v>
      </c>
      <c r="J121" s="1">
        <v>1</v>
      </c>
    </row>
    <row r="122" spans="1:10" x14ac:dyDescent="0.25">
      <c r="A122" s="1" t="s">
        <v>379</v>
      </c>
      <c r="B122" s="9">
        <v>10</v>
      </c>
      <c r="C122" s="9">
        <v>10</v>
      </c>
      <c r="D122" s="13">
        <v>50.7</v>
      </c>
      <c r="E122" s="13">
        <v>102</v>
      </c>
      <c r="F122" s="1" t="s">
        <v>442</v>
      </c>
      <c r="G122" s="1" t="s">
        <v>443</v>
      </c>
      <c r="I122" s="10">
        <v>905.56</v>
      </c>
      <c r="J122" s="1">
        <v>1</v>
      </c>
    </row>
    <row r="123" spans="1:10" x14ac:dyDescent="0.25">
      <c r="A123" s="1" t="s">
        <v>379</v>
      </c>
      <c r="B123" s="9">
        <v>4</v>
      </c>
      <c r="C123" s="9">
        <v>4</v>
      </c>
      <c r="D123" s="13">
        <v>50.7</v>
      </c>
      <c r="E123" s="13">
        <v>127</v>
      </c>
      <c r="F123" s="1" t="s">
        <v>442</v>
      </c>
      <c r="G123" s="1" t="s">
        <v>455</v>
      </c>
      <c r="I123" s="10">
        <v>905.56</v>
      </c>
      <c r="J123" s="1">
        <v>1</v>
      </c>
    </row>
    <row r="124" spans="1:10" x14ac:dyDescent="0.25">
      <c r="A124" s="1" t="s">
        <v>379</v>
      </c>
      <c r="B124" s="9">
        <v>2</v>
      </c>
      <c r="C124" s="9">
        <v>2</v>
      </c>
      <c r="D124" s="13">
        <v>76</v>
      </c>
      <c r="E124" s="13">
        <v>102</v>
      </c>
      <c r="F124" s="1" t="s">
        <v>442</v>
      </c>
      <c r="G124" s="1" t="s">
        <v>453</v>
      </c>
      <c r="I124" s="10">
        <v>905.56</v>
      </c>
      <c r="J124" s="1">
        <v>1</v>
      </c>
    </row>
    <row r="209" spans="12:12" x14ac:dyDescent="0.25">
      <c r="L209" s="6"/>
    </row>
    <row r="217" spans="12:12" x14ac:dyDescent="0.25">
      <c r="L217" s="6"/>
    </row>
    <row r="235" spans="12:14" x14ac:dyDescent="0.25">
      <c r="L235" s="6"/>
      <c r="M235" s="6"/>
      <c r="N235" s="7"/>
    </row>
    <row r="242" spans="12:14" x14ac:dyDescent="0.25">
      <c r="L242" s="6"/>
    </row>
    <row r="243" spans="12:14" x14ac:dyDescent="0.25">
      <c r="L243" s="6"/>
    </row>
    <row r="244" spans="12:14" x14ac:dyDescent="0.25">
      <c r="L244" s="6"/>
    </row>
    <row r="248" spans="12:14" x14ac:dyDescent="0.25">
      <c r="L248" s="6"/>
      <c r="M248" s="6"/>
      <c r="N248" s="7"/>
    </row>
    <row r="252" spans="12:14" x14ac:dyDescent="0.25">
      <c r="L252" s="6"/>
      <c r="M252" s="6"/>
      <c r="N252" s="7"/>
    </row>
    <row r="287" spans="12:14" x14ac:dyDescent="0.25">
      <c r="L287" s="6"/>
      <c r="M287" s="6"/>
      <c r="N287" s="7"/>
    </row>
    <row r="291" spans="12:14" x14ac:dyDescent="0.25">
      <c r="L291" s="6"/>
      <c r="M291" s="6"/>
      <c r="N291" s="7"/>
    </row>
    <row r="382" spans="12:12" x14ac:dyDescent="0.25">
      <c r="L382" s="6"/>
    </row>
    <row r="418" spans="12:12" x14ac:dyDescent="0.25">
      <c r="L418" s="6"/>
    </row>
    <row r="442" spans="12:14" x14ac:dyDescent="0.25">
      <c r="L442" s="6"/>
      <c r="M442" s="6"/>
      <c r="N442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1"/>
  <sheetViews>
    <sheetView workbookViewId="0"/>
  </sheetViews>
  <sheetFormatPr defaultRowHeight="13.2" x14ac:dyDescent="0.25"/>
  <cols>
    <col min="3" max="3" width="17.88671875" customWidth="1"/>
    <col min="4" max="4" width="16.44140625" customWidth="1"/>
    <col min="5" max="5" width="13" customWidth="1"/>
    <col min="6" max="6" width="14.44140625" customWidth="1"/>
  </cols>
  <sheetData>
    <row r="1" spans="1:6" x14ac:dyDescent="0.25">
      <c r="A1" t="s">
        <v>115</v>
      </c>
      <c r="B1" t="s">
        <v>119</v>
      </c>
      <c r="C1" t="s">
        <v>120</v>
      </c>
      <c r="D1" t="s">
        <v>121</v>
      </c>
      <c r="E1" t="s">
        <v>122</v>
      </c>
      <c r="F1" t="s">
        <v>123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angers"/>
  <dimension ref="A1:S259"/>
  <sheetViews>
    <sheetView topLeftCell="E1" workbookViewId="0">
      <selection activeCell="S1" sqref="S1"/>
    </sheetView>
  </sheetViews>
  <sheetFormatPr defaultColWidth="11.5546875" defaultRowHeight="13.2" x14ac:dyDescent="0.25"/>
  <cols>
    <col min="1" max="1" width="11.44140625" style="1" customWidth="1"/>
    <col min="2" max="2" width="9.6640625" style="1" customWidth="1"/>
    <col min="3" max="3" width="28.109375" style="1" customWidth="1"/>
    <col min="4" max="4" width="12.109375" style="1" customWidth="1"/>
    <col min="5" max="5" width="9.6640625" style="1" customWidth="1"/>
    <col min="6" max="6" width="19.33203125" style="1" customWidth="1"/>
    <col min="7" max="7" width="30.33203125" style="1" customWidth="1"/>
    <col min="8" max="11" width="19.6640625" style="1" customWidth="1"/>
    <col min="12" max="12" width="11" style="1" customWidth="1"/>
    <col min="13" max="13" width="11.109375" style="1" customWidth="1"/>
    <col min="14" max="14" width="10.5546875" style="1" bestFit="1" customWidth="1"/>
    <col min="15" max="15" width="15.88671875" style="1" bestFit="1" customWidth="1"/>
    <col min="16" max="16" width="19.6640625" style="1" customWidth="1"/>
    <col min="17" max="17" width="24.88671875" style="10" customWidth="1"/>
    <col min="18" max="19" width="13.33203125" style="1" customWidth="1"/>
    <col min="20" max="16384" width="11.5546875" style="1"/>
  </cols>
  <sheetData>
    <row r="1" spans="1:19" s="14" customFormat="1" x14ac:dyDescent="0.25">
      <c r="A1" s="14" t="s">
        <v>8</v>
      </c>
      <c r="B1" s="14" t="s">
        <v>69</v>
      </c>
      <c r="C1" s="14" t="s">
        <v>71</v>
      </c>
      <c r="D1" s="17" t="s">
        <v>72</v>
      </c>
      <c r="E1" s="17" t="s">
        <v>70</v>
      </c>
      <c r="F1" s="17" t="s">
        <v>73</v>
      </c>
      <c r="G1" s="17" t="s">
        <v>66</v>
      </c>
      <c r="H1" s="17" t="s">
        <v>63</v>
      </c>
      <c r="I1" s="17" t="s">
        <v>68</v>
      </c>
      <c r="J1" s="17" t="s">
        <v>36</v>
      </c>
      <c r="K1" s="17" t="s">
        <v>67</v>
      </c>
      <c r="L1" s="17" t="s">
        <v>64</v>
      </c>
      <c r="M1" s="17" t="s">
        <v>59</v>
      </c>
      <c r="N1" s="17" t="s">
        <v>51</v>
      </c>
      <c r="O1" s="17" t="s">
        <v>65</v>
      </c>
      <c r="P1" s="17" t="s">
        <v>89</v>
      </c>
      <c r="Q1" s="18" t="s">
        <v>184</v>
      </c>
      <c r="R1" s="14" t="s">
        <v>71</v>
      </c>
      <c r="S1" s="14" t="s">
        <v>118</v>
      </c>
    </row>
    <row r="2" spans="1:19" x14ac:dyDescent="0.25">
      <c r="D2" s="1">
        <v>1</v>
      </c>
      <c r="E2" s="1" t="s">
        <v>458</v>
      </c>
      <c r="F2" s="1" t="s">
        <v>460</v>
      </c>
      <c r="G2" s="1" t="s">
        <v>461</v>
      </c>
      <c r="H2" s="1" t="s">
        <v>462</v>
      </c>
      <c r="I2" s="1" t="s">
        <v>467</v>
      </c>
      <c r="J2" s="1" t="s">
        <v>475</v>
      </c>
      <c r="K2" s="1" t="s">
        <v>467</v>
      </c>
      <c r="L2" s="1">
        <v>250</v>
      </c>
      <c r="M2" s="1">
        <v>250</v>
      </c>
      <c r="N2" s="1">
        <v>250</v>
      </c>
      <c r="O2" s="1">
        <v>0</v>
      </c>
      <c r="Q2" s="10">
        <v>0</v>
      </c>
      <c r="R2" s="1" t="s">
        <v>467</v>
      </c>
      <c r="S2" s="1">
        <v>0</v>
      </c>
    </row>
    <row r="3" spans="1:19" x14ac:dyDescent="0.25">
      <c r="D3" s="1">
        <v>1</v>
      </c>
      <c r="E3" s="1" t="s">
        <v>458</v>
      </c>
      <c r="F3" s="1" t="s">
        <v>460</v>
      </c>
      <c r="G3" s="1" t="s">
        <v>461</v>
      </c>
      <c r="H3" s="1" t="s">
        <v>462</v>
      </c>
      <c r="I3" s="1" t="s">
        <v>467</v>
      </c>
      <c r="J3" s="1" t="s">
        <v>475</v>
      </c>
      <c r="K3" s="1" t="s">
        <v>467</v>
      </c>
      <c r="L3" s="1">
        <v>250</v>
      </c>
      <c r="M3" s="1">
        <v>250</v>
      </c>
      <c r="N3" s="1">
        <v>250</v>
      </c>
      <c r="O3" s="1">
        <v>0</v>
      </c>
      <c r="Q3" s="10">
        <v>0</v>
      </c>
      <c r="R3" s="1" t="s">
        <v>467</v>
      </c>
      <c r="S3" s="1">
        <v>0</v>
      </c>
    </row>
    <row r="4" spans="1:19" x14ac:dyDescent="0.25">
      <c r="D4" s="1">
        <v>1</v>
      </c>
      <c r="E4" s="1" t="s">
        <v>458</v>
      </c>
      <c r="F4" s="1" t="s">
        <v>460</v>
      </c>
      <c r="G4" s="1" t="s">
        <v>461</v>
      </c>
      <c r="H4" s="1" t="s">
        <v>462</v>
      </c>
      <c r="I4" s="1" t="s">
        <v>467</v>
      </c>
      <c r="J4" s="1" t="s">
        <v>475</v>
      </c>
      <c r="K4" s="1" t="s">
        <v>467</v>
      </c>
      <c r="L4" s="1">
        <v>250</v>
      </c>
      <c r="M4" s="1">
        <v>250</v>
      </c>
      <c r="N4" s="1">
        <v>250</v>
      </c>
      <c r="O4" s="1">
        <v>0</v>
      </c>
      <c r="Q4" s="10">
        <v>0</v>
      </c>
      <c r="R4" s="1" t="s">
        <v>467</v>
      </c>
      <c r="S4" s="1">
        <v>0</v>
      </c>
    </row>
    <row r="5" spans="1:19" x14ac:dyDescent="0.25">
      <c r="D5" s="1">
        <v>1</v>
      </c>
      <c r="E5" s="1" t="s">
        <v>458</v>
      </c>
      <c r="F5" s="1" t="s">
        <v>460</v>
      </c>
      <c r="G5" s="1" t="s">
        <v>461</v>
      </c>
      <c r="H5" s="1" t="s">
        <v>462</v>
      </c>
      <c r="I5" s="1" t="s">
        <v>467</v>
      </c>
      <c r="J5" s="1" t="s">
        <v>475</v>
      </c>
      <c r="K5" s="1" t="s">
        <v>467</v>
      </c>
      <c r="L5" s="1">
        <v>250</v>
      </c>
      <c r="M5" s="1">
        <v>250</v>
      </c>
      <c r="N5" s="1">
        <v>250</v>
      </c>
      <c r="O5" s="1">
        <v>0</v>
      </c>
      <c r="Q5" s="10">
        <v>0</v>
      </c>
      <c r="R5" s="1" t="s">
        <v>467</v>
      </c>
      <c r="S5" s="1">
        <v>0</v>
      </c>
    </row>
    <row r="6" spans="1:19" x14ac:dyDescent="0.25">
      <c r="D6" s="1">
        <v>1</v>
      </c>
      <c r="E6" s="1" t="s">
        <v>458</v>
      </c>
      <c r="F6" s="1" t="s">
        <v>460</v>
      </c>
      <c r="G6" s="1" t="s">
        <v>461</v>
      </c>
      <c r="H6" s="1" t="s">
        <v>462</v>
      </c>
      <c r="I6" s="1" t="s">
        <v>467</v>
      </c>
      <c r="J6" s="1" t="s">
        <v>475</v>
      </c>
      <c r="K6" s="1" t="s">
        <v>467</v>
      </c>
      <c r="L6" s="1">
        <v>250</v>
      </c>
      <c r="M6" s="1">
        <v>250</v>
      </c>
      <c r="N6" s="1">
        <v>250</v>
      </c>
      <c r="O6" s="1">
        <v>0</v>
      </c>
      <c r="Q6" s="10">
        <v>0</v>
      </c>
      <c r="R6" s="1" t="s">
        <v>467</v>
      </c>
      <c r="S6" s="1">
        <v>0</v>
      </c>
    </row>
    <row r="7" spans="1:19" x14ac:dyDescent="0.25">
      <c r="D7" s="1">
        <v>1</v>
      </c>
      <c r="E7" s="1" t="s">
        <v>458</v>
      </c>
      <c r="F7" s="1" t="s">
        <v>460</v>
      </c>
      <c r="G7" s="1" t="s">
        <v>461</v>
      </c>
      <c r="H7" s="1" t="s">
        <v>462</v>
      </c>
      <c r="I7" s="1" t="s">
        <v>467</v>
      </c>
      <c r="J7" s="1" t="s">
        <v>475</v>
      </c>
      <c r="K7" s="1" t="s">
        <v>467</v>
      </c>
      <c r="L7" s="1">
        <v>250</v>
      </c>
      <c r="M7" s="1">
        <v>250</v>
      </c>
      <c r="N7" s="1">
        <v>250</v>
      </c>
      <c r="O7" s="1">
        <v>0</v>
      </c>
      <c r="Q7" s="10">
        <v>0</v>
      </c>
      <c r="R7" s="1" t="s">
        <v>467</v>
      </c>
      <c r="S7" s="1">
        <v>0</v>
      </c>
    </row>
    <row r="8" spans="1:19" x14ac:dyDescent="0.25">
      <c r="D8" s="1">
        <v>1</v>
      </c>
      <c r="E8" s="1" t="s">
        <v>458</v>
      </c>
      <c r="F8" s="1" t="s">
        <v>460</v>
      </c>
      <c r="G8" s="1" t="s">
        <v>461</v>
      </c>
      <c r="H8" s="1" t="s">
        <v>462</v>
      </c>
      <c r="I8" s="1" t="s">
        <v>467</v>
      </c>
      <c r="J8" s="1" t="s">
        <v>475</v>
      </c>
      <c r="K8" s="1" t="s">
        <v>467</v>
      </c>
      <c r="L8" s="1">
        <v>250</v>
      </c>
      <c r="M8" s="1">
        <v>250</v>
      </c>
      <c r="N8" s="1">
        <v>250</v>
      </c>
      <c r="O8" s="1">
        <v>0</v>
      </c>
      <c r="Q8" s="10">
        <v>0</v>
      </c>
      <c r="R8" s="1" t="s">
        <v>467</v>
      </c>
      <c r="S8" s="1">
        <v>0</v>
      </c>
    </row>
    <row r="9" spans="1:19" x14ac:dyDescent="0.25">
      <c r="D9" s="1">
        <v>1</v>
      </c>
      <c r="E9" s="1" t="s">
        <v>458</v>
      </c>
      <c r="F9" s="1" t="s">
        <v>460</v>
      </c>
      <c r="G9" s="1" t="s">
        <v>461</v>
      </c>
      <c r="H9" s="1" t="s">
        <v>462</v>
      </c>
      <c r="I9" s="1" t="s">
        <v>467</v>
      </c>
      <c r="J9" s="1" t="s">
        <v>475</v>
      </c>
      <c r="K9" s="1" t="s">
        <v>467</v>
      </c>
      <c r="L9" s="1">
        <v>250</v>
      </c>
      <c r="M9" s="1">
        <v>250</v>
      </c>
      <c r="N9" s="1">
        <v>250</v>
      </c>
      <c r="O9" s="1">
        <v>0</v>
      </c>
      <c r="Q9" s="10">
        <v>0</v>
      </c>
      <c r="R9" s="1" t="s">
        <v>467</v>
      </c>
      <c r="S9" s="1">
        <v>0</v>
      </c>
    </row>
    <row r="10" spans="1:19" x14ac:dyDescent="0.25">
      <c r="D10" s="1">
        <v>1</v>
      </c>
      <c r="E10" s="1" t="s">
        <v>458</v>
      </c>
      <c r="F10" s="1" t="s">
        <v>460</v>
      </c>
      <c r="G10" s="1" t="s">
        <v>461</v>
      </c>
      <c r="H10" s="1" t="s">
        <v>462</v>
      </c>
      <c r="I10" s="1" t="s">
        <v>467</v>
      </c>
      <c r="J10" s="1" t="s">
        <v>475</v>
      </c>
      <c r="K10" s="1" t="s">
        <v>467</v>
      </c>
      <c r="L10" s="1">
        <v>250</v>
      </c>
      <c r="M10" s="1">
        <v>250</v>
      </c>
      <c r="N10" s="1">
        <v>250</v>
      </c>
      <c r="O10" s="1">
        <v>0</v>
      </c>
      <c r="Q10" s="10">
        <v>0</v>
      </c>
      <c r="R10" s="1" t="s">
        <v>467</v>
      </c>
      <c r="S10" s="1">
        <v>0</v>
      </c>
    </row>
    <row r="11" spans="1:19" x14ac:dyDescent="0.25">
      <c r="D11" s="1">
        <v>1</v>
      </c>
      <c r="E11" s="1" t="s">
        <v>458</v>
      </c>
      <c r="F11" s="1" t="s">
        <v>460</v>
      </c>
      <c r="G11" s="1" t="s">
        <v>461</v>
      </c>
      <c r="H11" s="1" t="s">
        <v>462</v>
      </c>
      <c r="I11" s="1" t="s">
        <v>467</v>
      </c>
      <c r="J11" s="1" t="s">
        <v>475</v>
      </c>
      <c r="K11" s="1" t="s">
        <v>467</v>
      </c>
      <c r="L11" s="1">
        <v>250</v>
      </c>
      <c r="M11" s="1">
        <v>250</v>
      </c>
      <c r="N11" s="1">
        <v>250</v>
      </c>
      <c r="O11" s="1">
        <v>0</v>
      </c>
      <c r="Q11" s="10">
        <v>0</v>
      </c>
      <c r="R11" s="1" t="s">
        <v>467</v>
      </c>
      <c r="S11" s="1">
        <v>0</v>
      </c>
    </row>
    <row r="12" spans="1:19" x14ac:dyDescent="0.25">
      <c r="D12" s="1">
        <v>1</v>
      </c>
      <c r="E12" s="1" t="s">
        <v>459</v>
      </c>
      <c r="G12" s="1" t="s">
        <v>461</v>
      </c>
      <c r="H12" s="1" t="s">
        <v>463</v>
      </c>
      <c r="I12" s="1" t="s">
        <v>468</v>
      </c>
      <c r="J12" s="1" t="s">
        <v>476</v>
      </c>
      <c r="K12" s="1" t="s">
        <v>468</v>
      </c>
      <c r="L12" s="1">
        <v>25</v>
      </c>
      <c r="M12" s="1">
        <v>25</v>
      </c>
      <c r="N12" s="1">
        <v>1</v>
      </c>
      <c r="O12" s="1">
        <v>0</v>
      </c>
      <c r="Q12" s="10">
        <v>0</v>
      </c>
      <c r="R12" s="1" t="s">
        <v>482</v>
      </c>
      <c r="S12" s="1">
        <v>6</v>
      </c>
    </row>
    <row r="13" spans="1:19" x14ac:dyDescent="0.25">
      <c r="D13" s="1">
        <v>1</v>
      </c>
      <c r="E13" s="1" t="s">
        <v>459</v>
      </c>
      <c r="G13" s="1" t="s">
        <v>461</v>
      </c>
      <c r="H13" s="1" t="s">
        <v>463</v>
      </c>
      <c r="I13" s="1" t="s">
        <v>468</v>
      </c>
      <c r="J13" s="1" t="s">
        <v>476</v>
      </c>
      <c r="K13" s="1" t="s">
        <v>468</v>
      </c>
      <c r="L13" s="1">
        <v>25</v>
      </c>
      <c r="M13" s="1">
        <v>25</v>
      </c>
      <c r="N13" s="1">
        <v>1</v>
      </c>
      <c r="O13" s="1">
        <v>0</v>
      </c>
      <c r="Q13" s="10">
        <v>0</v>
      </c>
      <c r="R13" s="1" t="s">
        <v>482</v>
      </c>
      <c r="S13" s="1">
        <v>6</v>
      </c>
    </row>
    <row r="14" spans="1:19" x14ac:dyDescent="0.25">
      <c r="D14" s="1">
        <v>1</v>
      </c>
      <c r="E14" s="1" t="s">
        <v>459</v>
      </c>
      <c r="G14" s="1" t="s">
        <v>461</v>
      </c>
      <c r="H14" s="1" t="s">
        <v>463</v>
      </c>
      <c r="I14" s="1" t="s">
        <v>468</v>
      </c>
      <c r="J14" s="1" t="s">
        <v>476</v>
      </c>
      <c r="K14" s="1" t="s">
        <v>468</v>
      </c>
      <c r="L14" s="1">
        <v>25</v>
      </c>
      <c r="M14" s="1">
        <v>25</v>
      </c>
      <c r="N14" s="1">
        <v>1</v>
      </c>
      <c r="O14" s="1">
        <v>0</v>
      </c>
      <c r="Q14" s="10">
        <v>0</v>
      </c>
      <c r="R14" s="1" t="s">
        <v>482</v>
      </c>
      <c r="S14" s="1">
        <v>6</v>
      </c>
    </row>
    <row r="15" spans="1:19" x14ac:dyDescent="0.25">
      <c r="D15" s="1">
        <v>1</v>
      </c>
      <c r="E15" s="1" t="s">
        <v>459</v>
      </c>
      <c r="G15" s="1" t="s">
        <v>461</v>
      </c>
      <c r="H15" s="1" t="s">
        <v>463</v>
      </c>
      <c r="I15" s="1" t="s">
        <v>468</v>
      </c>
      <c r="J15" s="1" t="s">
        <v>476</v>
      </c>
      <c r="K15" s="1" t="s">
        <v>468</v>
      </c>
      <c r="L15" s="1">
        <v>25</v>
      </c>
      <c r="M15" s="1">
        <v>25</v>
      </c>
      <c r="N15" s="1">
        <v>1</v>
      </c>
      <c r="O15" s="1">
        <v>0</v>
      </c>
      <c r="Q15" s="10">
        <v>0</v>
      </c>
      <c r="R15" s="1" t="s">
        <v>482</v>
      </c>
      <c r="S15" s="1">
        <v>6</v>
      </c>
    </row>
    <row r="16" spans="1:19" x14ac:dyDescent="0.25">
      <c r="D16" s="1">
        <v>1</v>
      </c>
      <c r="E16" s="1" t="s">
        <v>459</v>
      </c>
      <c r="G16" s="1" t="s">
        <v>461</v>
      </c>
      <c r="H16" s="1" t="s">
        <v>463</v>
      </c>
      <c r="I16" s="1" t="s">
        <v>468</v>
      </c>
      <c r="J16" s="1" t="s">
        <v>476</v>
      </c>
      <c r="K16" s="1" t="s">
        <v>468</v>
      </c>
      <c r="L16" s="1">
        <v>25</v>
      </c>
      <c r="M16" s="1">
        <v>25</v>
      </c>
      <c r="N16" s="1">
        <v>1</v>
      </c>
      <c r="O16" s="1">
        <v>0</v>
      </c>
      <c r="Q16" s="10">
        <v>0</v>
      </c>
      <c r="R16" s="1" t="s">
        <v>482</v>
      </c>
      <c r="S16" s="1">
        <v>6</v>
      </c>
    </row>
    <row r="17" spans="4:19" x14ac:dyDescent="0.25">
      <c r="D17" s="1">
        <v>1</v>
      </c>
      <c r="E17" s="1" t="s">
        <v>459</v>
      </c>
      <c r="G17" s="1" t="s">
        <v>461</v>
      </c>
      <c r="H17" s="1" t="s">
        <v>463</v>
      </c>
      <c r="I17" s="1" t="s">
        <v>468</v>
      </c>
      <c r="J17" s="1" t="s">
        <v>476</v>
      </c>
      <c r="K17" s="1" t="s">
        <v>468</v>
      </c>
      <c r="L17" s="1">
        <v>25</v>
      </c>
      <c r="M17" s="1">
        <v>25</v>
      </c>
      <c r="N17" s="1">
        <v>1</v>
      </c>
      <c r="O17" s="1">
        <v>0</v>
      </c>
      <c r="Q17" s="10">
        <v>0</v>
      </c>
      <c r="R17" s="1" t="s">
        <v>482</v>
      </c>
      <c r="S17" s="1">
        <v>6</v>
      </c>
    </row>
    <row r="18" spans="4:19" x14ac:dyDescent="0.25">
      <c r="D18" s="1">
        <v>1</v>
      </c>
      <c r="E18" s="1" t="s">
        <v>459</v>
      </c>
      <c r="G18" s="1" t="s">
        <v>461</v>
      </c>
      <c r="H18" s="1" t="s">
        <v>464</v>
      </c>
      <c r="I18" s="1" t="s">
        <v>469</v>
      </c>
      <c r="J18" s="1" t="s">
        <v>477</v>
      </c>
      <c r="K18" s="1" t="s">
        <v>469</v>
      </c>
      <c r="L18" s="1">
        <v>100</v>
      </c>
      <c r="M18" s="1">
        <v>95</v>
      </c>
      <c r="N18" s="1">
        <v>80</v>
      </c>
      <c r="O18" s="1">
        <v>30</v>
      </c>
      <c r="Q18" s="10">
        <v>0</v>
      </c>
      <c r="R18" s="1" t="s">
        <v>483</v>
      </c>
      <c r="S18" s="1">
        <v>8</v>
      </c>
    </row>
    <row r="19" spans="4:19" x14ac:dyDescent="0.25">
      <c r="D19" s="1">
        <v>1</v>
      </c>
      <c r="E19" s="1" t="s">
        <v>459</v>
      </c>
      <c r="G19" s="1" t="s">
        <v>461</v>
      </c>
      <c r="H19" s="1" t="s">
        <v>464</v>
      </c>
      <c r="I19" s="1" t="s">
        <v>469</v>
      </c>
      <c r="J19" s="1" t="s">
        <v>477</v>
      </c>
      <c r="K19" s="1" t="s">
        <v>469</v>
      </c>
      <c r="L19" s="1">
        <v>100</v>
      </c>
      <c r="M19" s="1">
        <v>95</v>
      </c>
      <c r="N19" s="1">
        <v>80</v>
      </c>
      <c r="O19" s="1">
        <v>30</v>
      </c>
      <c r="Q19" s="10">
        <v>0</v>
      </c>
      <c r="R19" s="1" t="s">
        <v>483</v>
      </c>
      <c r="S19" s="1">
        <v>8</v>
      </c>
    </row>
    <row r="20" spans="4:19" x14ac:dyDescent="0.25">
      <c r="D20" s="1">
        <v>1</v>
      </c>
      <c r="E20" s="1" t="s">
        <v>459</v>
      </c>
      <c r="G20" s="1" t="s">
        <v>461</v>
      </c>
      <c r="H20" s="1" t="s">
        <v>464</v>
      </c>
      <c r="I20" s="1" t="s">
        <v>469</v>
      </c>
      <c r="J20" s="1" t="s">
        <v>477</v>
      </c>
      <c r="K20" s="1" t="s">
        <v>469</v>
      </c>
      <c r="L20" s="1">
        <v>100</v>
      </c>
      <c r="M20" s="1">
        <v>95</v>
      </c>
      <c r="N20" s="1">
        <v>80</v>
      </c>
      <c r="O20" s="1">
        <v>30</v>
      </c>
      <c r="Q20" s="10">
        <v>0</v>
      </c>
      <c r="R20" s="1" t="s">
        <v>483</v>
      </c>
      <c r="S20" s="1">
        <v>8</v>
      </c>
    </row>
    <row r="21" spans="4:19" x14ac:dyDescent="0.25">
      <c r="D21" s="1">
        <v>1</v>
      </c>
      <c r="E21" s="1" t="s">
        <v>459</v>
      </c>
      <c r="G21" s="1" t="s">
        <v>461</v>
      </c>
      <c r="H21" s="1" t="s">
        <v>464</v>
      </c>
      <c r="I21" s="1" t="s">
        <v>469</v>
      </c>
      <c r="J21" s="1" t="s">
        <v>477</v>
      </c>
      <c r="K21" s="1" t="s">
        <v>469</v>
      </c>
      <c r="L21" s="1">
        <v>100</v>
      </c>
      <c r="M21" s="1">
        <v>95</v>
      </c>
      <c r="N21" s="1">
        <v>80</v>
      </c>
      <c r="O21" s="1">
        <v>30</v>
      </c>
      <c r="Q21" s="10">
        <v>0</v>
      </c>
      <c r="R21" s="1" t="s">
        <v>484</v>
      </c>
      <c r="S21" s="1">
        <v>8</v>
      </c>
    </row>
    <row r="22" spans="4:19" x14ac:dyDescent="0.25">
      <c r="D22" s="1">
        <v>1</v>
      </c>
      <c r="E22" s="1" t="s">
        <v>459</v>
      </c>
      <c r="G22" s="1" t="s">
        <v>461</v>
      </c>
      <c r="H22" s="1" t="s">
        <v>464</v>
      </c>
      <c r="I22" s="1" t="s">
        <v>469</v>
      </c>
      <c r="J22" s="1" t="s">
        <v>477</v>
      </c>
      <c r="K22" s="1" t="s">
        <v>469</v>
      </c>
      <c r="L22" s="1">
        <v>100</v>
      </c>
      <c r="M22" s="1">
        <v>95</v>
      </c>
      <c r="N22" s="1">
        <v>80</v>
      </c>
      <c r="O22" s="1">
        <v>30</v>
      </c>
      <c r="Q22" s="10">
        <v>0</v>
      </c>
      <c r="R22" s="1" t="s">
        <v>483</v>
      </c>
      <c r="S22" s="1">
        <v>8</v>
      </c>
    </row>
    <row r="23" spans="4:19" x14ac:dyDescent="0.25">
      <c r="D23" s="1">
        <v>1</v>
      </c>
      <c r="E23" s="1" t="s">
        <v>459</v>
      </c>
      <c r="G23" s="1" t="s">
        <v>461</v>
      </c>
      <c r="H23" s="1" t="s">
        <v>464</v>
      </c>
      <c r="I23" s="1" t="s">
        <v>469</v>
      </c>
      <c r="J23" s="1" t="s">
        <v>477</v>
      </c>
      <c r="K23" s="1" t="s">
        <v>469</v>
      </c>
      <c r="L23" s="1">
        <v>100</v>
      </c>
      <c r="M23" s="1">
        <v>95</v>
      </c>
      <c r="N23" s="1">
        <v>80</v>
      </c>
      <c r="O23" s="1">
        <v>30</v>
      </c>
      <c r="Q23" s="10">
        <v>0</v>
      </c>
      <c r="R23" s="1" t="s">
        <v>484</v>
      </c>
      <c r="S23" s="1">
        <v>8</v>
      </c>
    </row>
    <row r="24" spans="4:19" x14ac:dyDescent="0.25">
      <c r="D24" s="1">
        <v>1</v>
      </c>
      <c r="E24" s="1" t="s">
        <v>459</v>
      </c>
      <c r="G24" s="1" t="s">
        <v>461</v>
      </c>
      <c r="H24" s="1" t="s">
        <v>464</v>
      </c>
      <c r="I24" s="1" t="s">
        <v>469</v>
      </c>
      <c r="J24" s="1" t="s">
        <v>477</v>
      </c>
      <c r="K24" s="1" t="s">
        <v>469</v>
      </c>
      <c r="L24" s="1">
        <v>100</v>
      </c>
      <c r="M24" s="1">
        <v>95</v>
      </c>
      <c r="N24" s="1">
        <v>80</v>
      </c>
      <c r="O24" s="1">
        <v>30</v>
      </c>
      <c r="Q24" s="10">
        <v>0</v>
      </c>
      <c r="R24" s="1" t="s">
        <v>484</v>
      </c>
      <c r="S24" s="1">
        <v>8</v>
      </c>
    </row>
    <row r="25" spans="4:19" x14ac:dyDescent="0.25">
      <c r="D25" s="1">
        <v>1</v>
      </c>
      <c r="E25" s="1" t="s">
        <v>459</v>
      </c>
      <c r="G25" s="1" t="s">
        <v>461</v>
      </c>
      <c r="H25" s="1" t="s">
        <v>464</v>
      </c>
      <c r="I25" s="1" t="s">
        <v>469</v>
      </c>
      <c r="J25" s="1" t="s">
        <v>477</v>
      </c>
      <c r="K25" s="1" t="s">
        <v>469</v>
      </c>
      <c r="L25" s="1">
        <v>100</v>
      </c>
      <c r="M25" s="1">
        <v>95</v>
      </c>
      <c r="N25" s="1">
        <v>80</v>
      </c>
      <c r="O25" s="1">
        <v>30</v>
      </c>
      <c r="Q25" s="10">
        <v>0</v>
      </c>
      <c r="R25" s="1" t="s">
        <v>484</v>
      </c>
      <c r="S25" s="1">
        <v>8</v>
      </c>
    </row>
    <row r="26" spans="4:19" x14ac:dyDescent="0.25">
      <c r="D26" s="1">
        <v>1</v>
      </c>
      <c r="E26" s="1" t="s">
        <v>459</v>
      </c>
      <c r="G26" s="1" t="s">
        <v>461</v>
      </c>
      <c r="H26" s="1" t="s">
        <v>464</v>
      </c>
      <c r="I26" s="1" t="s">
        <v>469</v>
      </c>
      <c r="J26" s="1" t="s">
        <v>477</v>
      </c>
      <c r="K26" s="1" t="s">
        <v>469</v>
      </c>
      <c r="L26" s="1">
        <v>100</v>
      </c>
      <c r="M26" s="1">
        <v>95</v>
      </c>
      <c r="N26" s="1">
        <v>80</v>
      </c>
      <c r="O26" s="1">
        <v>30</v>
      </c>
      <c r="Q26" s="10">
        <v>0</v>
      </c>
      <c r="R26" s="1" t="s">
        <v>484</v>
      </c>
      <c r="S26" s="1">
        <v>8</v>
      </c>
    </row>
    <row r="27" spans="4:19" x14ac:dyDescent="0.25">
      <c r="D27" s="1">
        <v>1</v>
      </c>
      <c r="E27" s="1" t="s">
        <v>459</v>
      </c>
      <c r="G27" s="1" t="s">
        <v>461</v>
      </c>
      <c r="H27" s="1" t="s">
        <v>464</v>
      </c>
      <c r="I27" s="1" t="s">
        <v>469</v>
      </c>
      <c r="J27" s="1" t="s">
        <v>477</v>
      </c>
      <c r="K27" s="1" t="s">
        <v>469</v>
      </c>
      <c r="L27" s="1">
        <v>100</v>
      </c>
      <c r="M27" s="1">
        <v>95</v>
      </c>
      <c r="N27" s="1">
        <v>80</v>
      </c>
      <c r="O27" s="1">
        <v>30</v>
      </c>
      <c r="Q27" s="10">
        <v>0</v>
      </c>
      <c r="R27" s="1" t="s">
        <v>484</v>
      </c>
      <c r="S27" s="1">
        <v>8</v>
      </c>
    </row>
    <row r="28" spans="4:19" x14ac:dyDescent="0.25">
      <c r="D28" s="1">
        <v>1</v>
      </c>
      <c r="E28" s="1" t="s">
        <v>459</v>
      </c>
      <c r="G28" s="1" t="s">
        <v>461</v>
      </c>
      <c r="H28" s="1" t="s">
        <v>464</v>
      </c>
      <c r="I28" s="1" t="s">
        <v>469</v>
      </c>
      <c r="J28" s="1" t="s">
        <v>477</v>
      </c>
      <c r="K28" s="1" t="s">
        <v>469</v>
      </c>
      <c r="L28" s="1">
        <v>100</v>
      </c>
      <c r="M28" s="1">
        <v>95</v>
      </c>
      <c r="N28" s="1">
        <v>80</v>
      </c>
      <c r="O28" s="1">
        <v>30</v>
      </c>
      <c r="Q28" s="10">
        <v>0</v>
      </c>
      <c r="R28" s="1" t="s">
        <v>483</v>
      </c>
      <c r="S28" s="1">
        <v>8</v>
      </c>
    </row>
    <row r="29" spans="4:19" x14ac:dyDescent="0.25">
      <c r="D29" s="1">
        <v>1</v>
      </c>
      <c r="E29" s="1" t="s">
        <v>459</v>
      </c>
      <c r="G29" s="1" t="s">
        <v>461</v>
      </c>
      <c r="H29" s="1" t="s">
        <v>464</v>
      </c>
      <c r="I29" s="1" t="s">
        <v>469</v>
      </c>
      <c r="J29" s="1" t="s">
        <v>477</v>
      </c>
      <c r="K29" s="1" t="s">
        <v>469</v>
      </c>
      <c r="L29" s="1">
        <v>100</v>
      </c>
      <c r="M29" s="1">
        <v>95</v>
      </c>
      <c r="N29" s="1">
        <v>80</v>
      </c>
      <c r="O29" s="1">
        <v>30</v>
      </c>
      <c r="Q29" s="10">
        <v>0</v>
      </c>
      <c r="R29" s="1" t="s">
        <v>483</v>
      </c>
      <c r="S29" s="1">
        <v>8</v>
      </c>
    </row>
    <row r="30" spans="4:19" x14ac:dyDescent="0.25">
      <c r="D30" s="1">
        <v>1</v>
      </c>
      <c r="E30" s="1" t="s">
        <v>459</v>
      </c>
      <c r="G30" s="1" t="s">
        <v>461</v>
      </c>
      <c r="H30" s="1" t="s">
        <v>464</v>
      </c>
      <c r="I30" s="1" t="s">
        <v>469</v>
      </c>
      <c r="J30" s="1" t="s">
        <v>477</v>
      </c>
      <c r="K30" s="1" t="s">
        <v>469</v>
      </c>
      <c r="L30" s="1">
        <v>100</v>
      </c>
      <c r="M30" s="1">
        <v>95</v>
      </c>
      <c r="N30" s="1">
        <v>80</v>
      </c>
      <c r="O30" s="1">
        <v>30</v>
      </c>
      <c r="Q30" s="10">
        <v>0</v>
      </c>
      <c r="R30" s="1" t="s">
        <v>483</v>
      </c>
      <c r="S30" s="1">
        <v>8</v>
      </c>
    </row>
    <row r="31" spans="4:19" x14ac:dyDescent="0.25">
      <c r="D31" s="1">
        <v>1</v>
      </c>
      <c r="E31" s="1" t="s">
        <v>459</v>
      </c>
      <c r="G31" s="1" t="s">
        <v>461</v>
      </c>
      <c r="H31" s="1" t="s">
        <v>464</v>
      </c>
      <c r="I31" s="1" t="s">
        <v>469</v>
      </c>
      <c r="J31" s="1" t="s">
        <v>477</v>
      </c>
      <c r="K31" s="1" t="s">
        <v>469</v>
      </c>
      <c r="L31" s="1">
        <v>100</v>
      </c>
      <c r="M31" s="1">
        <v>95</v>
      </c>
      <c r="N31" s="1">
        <v>80</v>
      </c>
      <c r="O31" s="1">
        <v>30</v>
      </c>
      <c r="Q31" s="10">
        <v>0</v>
      </c>
      <c r="R31" s="1" t="s">
        <v>484</v>
      </c>
      <c r="S31" s="1">
        <v>8</v>
      </c>
    </row>
    <row r="32" spans="4:19" x14ac:dyDescent="0.25">
      <c r="D32" s="1">
        <v>1</v>
      </c>
      <c r="E32" s="1" t="s">
        <v>459</v>
      </c>
      <c r="G32" s="1" t="s">
        <v>461</v>
      </c>
      <c r="H32" s="1" t="s">
        <v>464</v>
      </c>
      <c r="I32" s="1" t="s">
        <v>469</v>
      </c>
      <c r="J32" s="1" t="s">
        <v>477</v>
      </c>
      <c r="K32" s="1" t="s">
        <v>469</v>
      </c>
      <c r="L32" s="1">
        <v>100</v>
      </c>
      <c r="M32" s="1">
        <v>95</v>
      </c>
      <c r="N32" s="1">
        <v>80</v>
      </c>
      <c r="O32" s="1">
        <v>30</v>
      </c>
      <c r="Q32" s="10">
        <v>0</v>
      </c>
      <c r="R32" s="1" t="s">
        <v>483</v>
      </c>
      <c r="S32" s="1">
        <v>8</v>
      </c>
    </row>
    <row r="33" spans="4:19" x14ac:dyDescent="0.25">
      <c r="D33" s="1">
        <v>1</v>
      </c>
      <c r="E33" s="1" t="s">
        <v>459</v>
      </c>
      <c r="G33" s="1" t="s">
        <v>461</v>
      </c>
      <c r="H33" s="1" t="s">
        <v>464</v>
      </c>
      <c r="I33" s="1" t="s">
        <v>469</v>
      </c>
      <c r="J33" s="1" t="s">
        <v>477</v>
      </c>
      <c r="K33" s="1" t="s">
        <v>469</v>
      </c>
      <c r="L33" s="1">
        <v>100</v>
      </c>
      <c r="M33" s="1">
        <v>95</v>
      </c>
      <c r="N33" s="1">
        <v>80</v>
      </c>
      <c r="O33" s="1">
        <v>30</v>
      </c>
      <c r="Q33" s="10">
        <v>0</v>
      </c>
      <c r="R33" s="1" t="s">
        <v>483</v>
      </c>
      <c r="S33" s="1">
        <v>8</v>
      </c>
    </row>
    <row r="34" spans="4:19" x14ac:dyDescent="0.25">
      <c r="D34" s="1">
        <v>1</v>
      </c>
      <c r="E34" s="1" t="s">
        <v>459</v>
      </c>
      <c r="G34" s="1" t="s">
        <v>461</v>
      </c>
      <c r="H34" s="1" t="s">
        <v>464</v>
      </c>
      <c r="I34" s="1" t="s">
        <v>469</v>
      </c>
      <c r="J34" s="1" t="s">
        <v>477</v>
      </c>
      <c r="K34" s="1" t="s">
        <v>469</v>
      </c>
      <c r="L34" s="1">
        <v>100</v>
      </c>
      <c r="M34" s="1">
        <v>95</v>
      </c>
      <c r="N34" s="1">
        <v>80</v>
      </c>
      <c r="O34" s="1">
        <v>30</v>
      </c>
      <c r="Q34" s="10">
        <v>0</v>
      </c>
      <c r="R34" s="1" t="s">
        <v>483</v>
      </c>
      <c r="S34" s="1">
        <v>8</v>
      </c>
    </row>
    <row r="35" spans="4:19" x14ac:dyDescent="0.25">
      <c r="D35" s="1">
        <v>1</v>
      </c>
      <c r="E35" s="1" t="s">
        <v>459</v>
      </c>
      <c r="G35" s="1" t="s">
        <v>461</v>
      </c>
      <c r="H35" s="1" t="s">
        <v>464</v>
      </c>
      <c r="I35" s="1" t="s">
        <v>469</v>
      </c>
      <c r="J35" s="1" t="s">
        <v>477</v>
      </c>
      <c r="K35" s="1" t="s">
        <v>469</v>
      </c>
      <c r="L35" s="1">
        <v>100</v>
      </c>
      <c r="M35" s="1">
        <v>95</v>
      </c>
      <c r="N35" s="1">
        <v>80</v>
      </c>
      <c r="O35" s="1">
        <v>30</v>
      </c>
      <c r="Q35" s="10">
        <v>0</v>
      </c>
      <c r="R35" s="1" t="s">
        <v>483</v>
      </c>
      <c r="S35" s="1">
        <v>8</v>
      </c>
    </row>
    <row r="36" spans="4:19" x14ac:dyDescent="0.25">
      <c r="D36" s="1">
        <v>1</v>
      </c>
      <c r="E36" s="1" t="s">
        <v>459</v>
      </c>
      <c r="G36" s="1" t="s">
        <v>461</v>
      </c>
      <c r="H36" s="1" t="s">
        <v>464</v>
      </c>
      <c r="I36" s="1" t="s">
        <v>469</v>
      </c>
      <c r="J36" s="1" t="s">
        <v>477</v>
      </c>
      <c r="K36" s="1" t="s">
        <v>469</v>
      </c>
      <c r="L36" s="1">
        <v>100</v>
      </c>
      <c r="M36" s="1">
        <v>95</v>
      </c>
      <c r="N36" s="1">
        <v>80</v>
      </c>
      <c r="O36" s="1">
        <v>30</v>
      </c>
      <c r="Q36" s="10">
        <v>0</v>
      </c>
      <c r="R36" s="1" t="s">
        <v>483</v>
      </c>
      <c r="S36" s="1">
        <v>8</v>
      </c>
    </row>
    <row r="37" spans="4:19" x14ac:dyDescent="0.25">
      <c r="D37" s="1">
        <v>1</v>
      </c>
      <c r="E37" s="1" t="s">
        <v>459</v>
      </c>
      <c r="G37" s="1" t="s">
        <v>461</v>
      </c>
      <c r="H37" s="1" t="s">
        <v>464</v>
      </c>
      <c r="I37" s="1" t="s">
        <v>470</v>
      </c>
      <c r="J37" s="1" t="s">
        <v>478</v>
      </c>
      <c r="K37" s="1" t="s">
        <v>470</v>
      </c>
      <c r="L37" s="1">
        <v>100</v>
      </c>
      <c r="M37" s="1">
        <v>118</v>
      </c>
      <c r="N37" s="1">
        <v>80</v>
      </c>
      <c r="O37" s="1">
        <v>30</v>
      </c>
      <c r="Q37" s="10">
        <v>0</v>
      </c>
      <c r="R37" s="1" t="s">
        <v>485</v>
      </c>
      <c r="S37" s="1">
        <v>2</v>
      </c>
    </row>
    <row r="38" spans="4:19" x14ac:dyDescent="0.25">
      <c r="D38" s="1">
        <v>1</v>
      </c>
      <c r="E38" s="1" t="s">
        <v>459</v>
      </c>
      <c r="G38" s="1" t="s">
        <v>461</v>
      </c>
      <c r="H38" s="1" t="s">
        <v>464</v>
      </c>
      <c r="I38" s="1" t="s">
        <v>470</v>
      </c>
      <c r="J38" s="1" t="s">
        <v>478</v>
      </c>
      <c r="K38" s="1" t="s">
        <v>470</v>
      </c>
      <c r="L38" s="1">
        <v>100</v>
      </c>
      <c r="M38" s="1">
        <v>118</v>
      </c>
      <c r="N38" s="1">
        <v>80</v>
      </c>
      <c r="O38" s="1">
        <v>30</v>
      </c>
      <c r="Q38" s="10">
        <v>0</v>
      </c>
      <c r="R38" s="1" t="s">
        <v>485</v>
      </c>
      <c r="S38" s="1">
        <v>2</v>
      </c>
    </row>
    <row r="39" spans="4:19" x14ac:dyDescent="0.25">
      <c r="D39" s="1">
        <v>1</v>
      </c>
      <c r="E39" s="1" t="s">
        <v>459</v>
      </c>
      <c r="G39" s="1" t="s">
        <v>461</v>
      </c>
      <c r="H39" s="1" t="s">
        <v>464</v>
      </c>
      <c r="I39" s="1" t="s">
        <v>470</v>
      </c>
      <c r="J39" s="1" t="s">
        <v>478</v>
      </c>
      <c r="K39" s="1" t="s">
        <v>470</v>
      </c>
      <c r="L39" s="1">
        <v>100</v>
      </c>
      <c r="M39" s="1">
        <v>118</v>
      </c>
      <c r="N39" s="1">
        <v>80</v>
      </c>
      <c r="O39" s="1">
        <v>30</v>
      </c>
      <c r="Q39" s="10">
        <v>0</v>
      </c>
      <c r="R39" s="1" t="s">
        <v>485</v>
      </c>
      <c r="S39" s="1">
        <v>2</v>
      </c>
    </row>
    <row r="40" spans="4:19" x14ac:dyDescent="0.25">
      <c r="D40" s="1">
        <v>1</v>
      </c>
      <c r="E40" s="1" t="s">
        <v>459</v>
      </c>
      <c r="G40" s="1" t="s">
        <v>461</v>
      </c>
      <c r="H40" s="1" t="s">
        <v>464</v>
      </c>
      <c r="I40" s="1" t="s">
        <v>470</v>
      </c>
      <c r="J40" s="1" t="s">
        <v>478</v>
      </c>
      <c r="K40" s="1" t="s">
        <v>470</v>
      </c>
      <c r="L40" s="1">
        <v>100</v>
      </c>
      <c r="M40" s="1">
        <v>118</v>
      </c>
      <c r="N40" s="1">
        <v>80</v>
      </c>
      <c r="O40" s="1">
        <v>30</v>
      </c>
      <c r="Q40" s="10">
        <v>0</v>
      </c>
      <c r="R40" s="1" t="s">
        <v>485</v>
      </c>
      <c r="S40" s="1">
        <v>2</v>
      </c>
    </row>
    <row r="41" spans="4:19" x14ac:dyDescent="0.25">
      <c r="D41" s="1">
        <v>1</v>
      </c>
      <c r="E41" s="1" t="s">
        <v>459</v>
      </c>
      <c r="G41" s="1" t="s">
        <v>461</v>
      </c>
      <c r="H41" s="1" t="s">
        <v>464</v>
      </c>
      <c r="I41" s="1" t="s">
        <v>470</v>
      </c>
      <c r="J41" s="1" t="s">
        <v>478</v>
      </c>
      <c r="K41" s="1" t="s">
        <v>470</v>
      </c>
      <c r="L41" s="1">
        <v>100</v>
      </c>
      <c r="M41" s="1">
        <v>118</v>
      </c>
      <c r="N41" s="1">
        <v>80</v>
      </c>
      <c r="O41" s="1">
        <v>30</v>
      </c>
      <c r="Q41" s="10">
        <v>0</v>
      </c>
      <c r="R41" s="1" t="s">
        <v>485</v>
      </c>
      <c r="S41" s="1">
        <v>2</v>
      </c>
    </row>
    <row r="42" spans="4:19" x14ac:dyDescent="0.25">
      <c r="D42" s="1">
        <v>1</v>
      </c>
      <c r="E42" s="1" t="s">
        <v>459</v>
      </c>
      <c r="G42" s="1" t="s">
        <v>461</v>
      </c>
      <c r="H42" s="1" t="s">
        <v>464</v>
      </c>
      <c r="I42" s="1" t="s">
        <v>470</v>
      </c>
      <c r="J42" s="1" t="s">
        <v>478</v>
      </c>
      <c r="K42" s="1" t="s">
        <v>470</v>
      </c>
      <c r="L42" s="1">
        <v>100</v>
      </c>
      <c r="M42" s="1">
        <v>118</v>
      </c>
      <c r="N42" s="1">
        <v>80</v>
      </c>
      <c r="O42" s="1">
        <v>30</v>
      </c>
      <c r="Q42" s="10">
        <v>0</v>
      </c>
      <c r="R42" s="1" t="s">
        <v>485</v>
      </c>
      <c r="S42" s="1">
        <v>2</v>
      </c>
    </row>
    <row r="43" spans="4:19" x14ac:dyDescent="0.25">
      <c r="D43" s="1">
        <v>1</v>
      </c>
      <c r="E43" s="1" t="s">
        <v>459</v>
      </c>
      <c r="G43" s="1" t="s">
        <v>461</v>
      </c>
      <c r="H43" s="1" t="s">
        <v>464</v>
      </c>
      <c r="I43" s="1" t="s">
        <v>471</v>
      </c>
      <c r="J43" s="1" t="s">
        <v>479</v>
      </c>
      <c r="K43" s="1" t="s">
        <v>471</v>
      </c>
      <c r="L43" s="1">
        <v>100</v>
      </c>
      <c r="M43" s="1">
        <v>118</v>
      </c>
      <c r="N43" s="1">
        <v>80</v>
      </c>
      <c r="O43" s="1">
        <v>30</v>
      </c>
      <c r="Q43" s="10">
        <v>0</v>
      </c>
      <c r="R43" s="1" t="s">
        <v>483</v>
      </c>
      <c r="S43" s="1">
        <v>14</v>
      </c>
    </row>
    <row r="44" spans="4:19" x14ac:dyDescent="0.25">
      <c r="D44" s="1">
        <v>1</v>
      </c>
      <c r="E44" s="1" t="s">
        <v>459</v>
      </c>
      <c r="G44" s="1" t="s">
        <v>461</v>
      </c>
      <c r="H44" s="1" t="s">
        <v>464</v>
      </c>
      <c r="I44" s="1" t="s">
        <v>471</v>
      </c>
      <c r="J44" s="1" t="s">
        <v>479</v>
      </c>
      <c r="K44" s="1" t="s">
        <v>471</v>
      </c>
      <c r="L44" s="1">
        <v>100</v>
      </c>
      <c r="M44" s="1">
        <v>118</v>
      </c>
      <c r="N44" s="1">
        <v>80</v>
      </c>
      <c r="O44" s="1">
        <v>30</v>
      </c>
      <c r="Q44" s="10">
        <v>0</v>
      </c>
      <c r="R44" s="1" t="s">
        <v>483</v>
      </c>
      <c r="S44" s="1">
        <v>14</v>
      </c>
    </row>
    <row r="45" spans="4:19" x14ac:dyDescent="0.25">
      <c r="D45" s="1">
        <v>1</v>
      </c>
      <c r="E45" s="1" t="s">
        <v>459</v>
      </c>
      <c r="G45" s="1" t="s">
        <v>461</v>
      </c>
      <c r="H45" s="1" t="s">
        <v>465</v>
      </c>
      <c r="I45" s="1" t="s">
        <v>472</v>
      </c>
      <c r="J45" s="1" t="s">
        <v>480</v>
      </c>
      <c r="K45" s="1" t="s">
        <v>472</v>
      </c>
      <c r="L45" s="1">
        <v>38</v>
      </c>
      <c r="M45" s="1">
        <v>60</v>
      </c>
      <c r="N45" s="1">
        <v>4</v>
      </c>
      <c r="O45" s="1">
        <v>4</v>
      </c>
      <c r="Q45" s="10">
        <v>0</v>
      </c>
      <c r="R45" s="1" t="s">
        <v>486</v>
      </c>
      <c r="S45" s="1">
        <v>2</v>
      </c>
    </row>
    <row r="46" spans="4:19" x14ac:dyDescent="0.25">
      <c r="D46" s="1">
        <v>1</v>
      </c>
      <c r="E46" s="1" t="s">
        <v>459</v>
      </c>
      <c r="G46" s="1" t="s">
        <v>461</v>
      </c>
      <c r="H46" s="1" t="s">
        <v>465</v>
      </c>
      <c r="I46" s="1" t="s">
        <v>472</v>
      </c>
      <c r="J46" s="1" t="s">
        <v>480</v>
      </c>
      <c r="K46" s="1" t="s">
        <v>472</v>
      </c>
      <c r="L46" s="1">
        <v>38</v>
      </c>
      <c r="M46" s="1">
        <v>60</v>
      </c>
      <c r="N46" s="1">
        <v>4</v>
      </c>
      <c r="O46" s="1">
        <v>4</v>
      </c>
      <c r="Q46" s="10">
        <v>0</v>
      </c>
      <c r="R46" s="1" t="s">
        <v>486</v>
      </c>
      <c r="S46" s="1">
        <v>2</v>
      </c>
    </row>
    <row r="47" spans="4:19" x14ac:dyDescent="0.25">
      <c r="D47" s="1">
        <v>1</v>
      </c>
      <c r="E47" s="1" t="s">
        <v>459</v>
      </c>
      <c r="G47" s="1" t="s">
        <v>461</v>
      </c>
      <c r="H47" s="1" t="s">
        <v>465</v>
      </c>
      <c r="I47" s="1" t="s">
        <v>472</v>
      </c>
      <c r="J47" s="1" t="s">
        <v>480</v>
      </c>
      <c r="K47" s="1" t="s">
        <v>472</v>
      </c>
      <c r="L47" s="1">
        <v>38</v>
      </c>
      <c r="M47" s="1">
        <v>60</v>
      </c>
      <c r="N47" s="1">
        <v>4</v>
      </c>
      <c r="O47" s="1">
        <v>4</v>
      </c>
      <c r="Q47" s="10">
        <v>0</v>
      </c>
      <c r="R47" s="1" t="s">
        <v>486</v>
      </c>
      <c r="S47" s="1">
        <v>2</v>
      </c>
    </row>
    <row r="48" spans="4:19" x14ac:dyDescent="0.25">
      <c r="D48" s="1">
        <v>1</v>
      </c>
      <c r="E48" s="1" t="s">
        <v>459</v>
      </c>
      <c r="G48" s="1" t="s">
        <v>461</v>
      </c>
      <c r="H48" s="1" t="s">
        <v>465</v>
      </c>
      <c r="I48" s="1" t="s">
        <v>472</v>
      </c>
      <c r="J48" s="1" t="s">
        <v>480</v>
      </c>
      <c r="K48" s="1" t="s">
        <v>472</v>
      </c>
      <c r="L48" s="1">
        <v>38</v>
      </c>
      <c r="M48" s="1">
        <v>60</v>
      </c>
      <c r="N48" s="1">
        <v>4</v>
      </c>
      <c r="O48" s="1">
        <v>4</v>
      </c>
      <c r="Q48" s="10">
        <v>0</v>
      </c>
      <c r="R48" s="1" t="s">
        <v>486</v>
      </c>
      <c r="S48" s="1">
        <v>2</v>
      </c>
    </row>
    <row r="49" spans="4:19" x14ac:dyDescent="0.25">
      <c r="D49" s="1">
        <v>1</v>
      </c>
      <c r="E49" s="1" t="s">
        <v>459</v>
      </c>
      <c r="G49" s="1" t="s">
        <v>461</v>
      </c>
      <c r="H49" s="1" t="s">
        <v>465</v>
      </c>
      <c r="I49" s="1" t="s">
        <v>472</v>
      </c>
      <c r="J49" s="1" t="s">
        <v>480</v>
      </c>
      <c r="K49" s="1" t="s">
        <v>472</v>
      </c>
      <c r="L49" s="1">
        <v>38</v>
      </c>
      <c r="M49" s="1">
        <v>60</v>
      </c>
      <c r="N49" s="1">
        <v>4</v>
      </c>
      <c r="O49" s="1">
        <v>4</v>
      </c>
      <c r="Q49" s="10">
        <v>0</v>
      </c>
      <c r="R49" s="1" t="s">
        <v>486</v>
      </c>
      <c r="S49" s="1">
        <v>2</v>
      </c>
    </row>
    <row r="50" spans="4:19" x14ac:dyDescent="0.25">
      <c r="D50" s="1">
        <v>1</v>
      </c>
      <c r="E50" s="1" t="s">
        <v>459</v>
      </c>
      <c r="G50" s="1" t="s">
        <v>461</v>
      </c>
      <c r="H50" s="1" t="s">
        <v>465</v>
      </c>
      <c r="I50" s="1" t="s">
        <v>472</v>
      </c>
      <c r="J50" s="1" t="s">
        <v>480</v>
      </c>
      <c r="K50" s="1" t="s">
        <v>472</v>
      </c>
      <c r="L50" s="1">
        <v>38</v>
      </c>
      <c r="M50" s="1">
        <v>60</v>
      </c>
      <c r="N50" s="1">
        <v>4</v>
      </c>
      <c r="O50" s="1">
        <v>4</v>
      </c>
      <c r="Q50" s="10">
        <v>0</v>
      </c>
      <c r="R50" s="1" t="s">
        <v>486</v>
      </c>
      <c r="S50" s="1">
        <v>2</v>
      </c>
    </row>
    <row r="51" spans="4:19" x14ac:dyDescent="0.25">
      <c r="D51" s="1">
        <v>1</v>
      </c>
      <c r="E51" s="1" t="s">
        <v>459</v>
      </c>
      <c r="G51" s="1" t="s">
        <v>461</v>
      </c>
      <c r="H51" s="1" t="s">
        <v>465</v>
      </c>
      <c r="I51" s="1" t="s">
        <v>472</v>
      </c>
      <c r="J51" s="1" t="s">
        <v>480</v>
      </c>
      <c r="K51" s="1" t="s">
        <v>472</v>
      </c>
      <c r="L51" s="1">
        <v>38</v>
      </c>
      <c r="M51" s="1">
        <v>60</v>
      </c>
      <c r="N51" s="1">
        <v>4</v>
      </c>
      <c r="O51" s="1">
        <v>4</v>
      </c>
      <c r="Q51" s="10">
        <v>0</v>
      </c>
      <c r="R51" s="1" t="s">
        <v>486</v>
      </c>
      <c r="S51" s="1">
        <v>2</v>
      </c>
    </row>
    <row r="52" spans="4:19" x14ac:dyDescent="0.25">
      <c r="D52" s="1">
        <v>1</v>
      </c>
      <c r="E52" s="1" t="s">
        <v>459</v>
      </c>
      <c r="G52" s="1" t="s">
        <v>461</v>
      </c>
      <c r="H52" s="1" t="s">
        <v>465</v>
      </c>
      <c r="I52" s="1" t="s">
        <v>472</v>
      </c>
      <c r="J52" s="1" t="s">
        <v>480</v>
      </c>
      <c r="K52" s="1" t="s">
        <v>472</v>
      </c>
      <c r="L52" s="1">
        <v>38</v>
      </c>
      <c r="M52" s="1">
        <v>60</v>
      </c>
      <c r="N52" s="1">
        <v>4</v>
      </c>
      <c r="O52" s="1">
        <v>4</v>
      </c>
      <c r="Q52" s="10">
        <v>0</v>
      </c>
      <c r="R52" s="1" t="s">
        <v>486</v>
      </c>
      <c r="S52" s="1">
        <v>2</v>
      </c>
    </row>
    <row r="53" spans="4:19" x14ac:dyDescent="0.25">
      <c r="D53" s="1">
        <v>1</v>
      </c>
      <c r="E53" s="1" t="s">
        <v>459</v>
      </c>
      <c r="G53" s="1" t="s">
        <v>461</v>
      </c>
      <c r="H53" s="1" t="s">
        <v>465</v>
      </c>
      <c r="I53" s="1" t="s">
        <v>472</v>
      </c>
      <c r="J53" s="1" t="s">
        <v>480</v>
      </c>
      <c r="K53" s="1" t="s">
        <v>472</v>
      </c>
      <c r="L53" s="1">
        <v>38</v>
      </c>
      <c r="M53" s="1">
        <v>60</v>
      </c>
      <c r="N53" s="1">
        <v>4</v>
      </c>
      <c r="O53" s="1">
        <v>4</v>
      </c>
      <c r="Q53" s="10">
        <v>0</v>
      </c>
      <c r="R53" s="1" t="s">
        <v>486</v>
      </c>
      <c r="S53" s="1">
        <v>2</v>
      </c>
    </row>
    <row r="54" spans="4:19" x14ac:dyDescent="0.25">
      <c r="D54" s="1">
        <v>1</v>
      </c>
      <c r="E54" s="1" t="s">
        <v>459</v>
      </c>
      <c r="G54" s="1" t="s">
        <v>461</v>
      </c>
      <c r="H54" s="1" t="s">
        <v>465</v>
      </c>
      <c r="I54" s="1" t="s">
        <v>472</v>
      </c>
      <c r="J54" s="1" t="s">
        <v>480</v>
      </c>
      <c r="K54" s="1" t="s">
        <v>472</v>
      </c>
      <c r="L54" s="1">
        <v>38</v>
      </c>
      <c r="M54" s="1">
        <v>60</v>
      </c>
      <c r="N54" s="1">
        <v>4</v>
      </c>
      <c r="O54" s="1">
        <v>4</v>
      </c>
      <c r="Q54" s="10">
        <v>0</v>
      </c>
      <c r="R54" s="1" t="s">
        <v>486</v>
      </c>
      <c r="S54" s="1">
        <v>2</v>
      </c>
    </row>
    <row r="55" spans="4:19" x14ac:dyDescent="0.25">
      <c r="D55" s="1">
        <v>1</v>
      </c>
      <c r="E55" s="1" t="s">
        <v>459</v>
      </c>
      <c r="G55" s="1" t="s">
        <v>461</v>
      </c>
      <c r="H55" s="1" t="s">
        <v>465</v>
      </c>
      <c r="I55" s="1" t="s">
        <v>473</v>
      </c>
      <c r="J55" s="1" t="s">
        <v>480</v>
      </c>
      <c r="K55" s="1" t="s">
        <v>473</v>
      </c>
      <c r="L55" s="1">
        <v>38</v>
      </c>
      <c r="M55" s="1">
        <v>60</v>
      </c>
      <c r="N55" s="1">
        <v>4</v>
      </c>
      <c r="O55" s="1">
        <v>4</v>
      </c>
      <c r="Q55" s="10">
        <v>0</v>
      </c>
      <c r="R55" s="1" t="s">
        <v>486</v>
      </c>
      <c r="S55" s="1">
        <v>2</v>
      </c>
    </row>
    <row r="56" spans="4:19" x14ac:dyDescent="0.25">
      <c r="D56" s="1">
        <v>1</v>
      </c>
      <c r="E56" s="1" t="s">
        <v>459</v>
      </c>
      <c r="G56" s="1" t="s">
        <v>461</v>
      </c>
      <c r="H56" s="1" t="s">
        <v>465</v>
      </c>
      <c r="I56" s="1" t="s">
        <v>473</v>
      </c>
      <c r="J56" s="1" t="s">
        <v>480</v>
      </c>
      <c r="K56" s="1" t="s">
        <v>473</v>
      </c>
      <c r="L56" s="1">
        <v>38</v>
      </c>
      <c r="M56" s="1">
        <v>60</v>
      </c>
      <c r="N56" s="1">
        <v>4</v>
      </c>
      <c r="O56" s="1">
        <v>4</v>
      </c>
      <c r="Q56" s="10">
        <v>0</v>
      </c>
      <c r="R56" s="1" t="s">
        <v>486</v>
      </c>
      <c r="S56" s="1">
        <v>2</v>
      </c>
    </row>
    <row r="57" spans="4:19" x14ac:dyDescent="0.25">
      <c r="D57" s="1">
        <v>1</v>
      </c>
      <c r="E57" s="1" t="s">
        <v>459</v>
      </c>
      <c r="G57" s="1" t="s">
        <v>461</v>
      </c>
      <c r="H57" s="1" t="s">
        <v>465</v>
      </c>
      <c r="I57" s="1" t="s">
        <v>473</v>
      </c>
      <c r="J57" s="1" t="s">
        <v>480</v>
      </c>
      <c r="K57" s="1" t="s">
        <v>473</v>
      </c>
      <c r="L57" s="1">
        <v>38</v>
      </c>
      <c r="M57" s="1">
        <v>60</v>
      </c>
      <c r="N57" s="1">
        <v>4</v>
      </c>
      <c r="O57" s="1">
        <v>4</v>
      </c>
      <c r="Q57" s="10">
        <v>0</v>
      </c>
      <c r="R57" s="1" t="s">
        <v>486</v>
      </c>
      <c r="S57" s="1">
        <v>2</v>
      </c>
    </row>
    <row r="58" spans="4:19" x14ac:dyDescent="0.25">
      <c r="D58" s="1">
        <v>1</v>
      </c>
      <c r="E58" s="1" t="s">
        <v>459</v>
      </c>
      <c r="G58" s="1" t="s">
        <v>461</v>
      </c>
      <c r="H58" s="1" t="s">
        <v>465</v>
      </c>
      <c r="I58" s="1" t="s">
        <v>473</v>
      </c>
      <c r="J58" s="1" t="s">
        <v>480</v>
      </c>
      <c r="K58" s="1" t="s">
        <v>473</v>
      </c>
      <c r="L58" s="1">
        <v>38</v>
      </c>
      <c r="M58" s="1">
        <v>60</v>
      </c>
      <c r="N58" s="1">
        <v>4</v>
      </c>
      <c r="O58" s="1">
        <v>4</v>
      </c>
      <c r="Q58" s="10">
        <v>0</v>
      </c>
      <c r="R58" s="1" t="s">
        <v>486</v>
      </c>
      <c r="S58" s="1">
        <v>2</v>
      </c>
    </row>
    <row r="59" spans="4:19" x14ac:dyDescent="0.25">
      <c r="D59" s="1">
        <v>1</v>
      </c>
      <c r="E59" s="1" t="s">
        <v>459</v>
      </c>
      <c r="G59" s="1" t="s">
        <v>461</v>
      </c>
      <c r="H59" s="1" t="s">
        <v>465</v>
      </c>
      <c r="I59" s="1" t="s">
        <v>473</v>
      </c>
      <c r="J59" s="1" t="s">
        <v>480</v>
      </c>
      <c r="K59" s="1" t="s">
        <v>473</v>
      </c>
      <c r="L59" s="1">
        <v>38</v>
      </c>
      <c r="M59" s="1">
        <v>60</v>
      </c>
      <c r="N59" s="1">
        <v>4</v>
      </c>
      <c r="O59" s="1">
        <v>4</v>
      </c>
      <c r="Q59" s="10">
        <v>0</v>
      </c>
      <c r="R59" s="1" t="s">
        <v>486</v>
      </c>
      <c r="S59" s="1">
        <v>2</v>
      </c>
    </row>
    <row r="60" spans="4:19" x14ac:dyDescent="0.25">
      <c r="D60" s="1">
        <v>1</v>
      </c>
      <c r="E60" s="1" t="s">
        <v>459</v>
      </c>
      <c r="G60" s="1" t="s">
        <v>461</v>
      </c>
      <c r="H60" s="1" t="s">
        <v>465</v>
      </c>
      <c r="I60" s="1" t="s">
        <v>473</v>
      </c>
      <c r="J60" s="1" t="s">
        <v>480</v>
      </c>
      <c r="K60" s="1" t="s">
        <v>473</v>
      </c>
      <c r="L60" s="1">
        <v>38</v>
      </c>
      <c r="M60" s="1">
        <v>60</v>
      </c>
      <c r="N60" s="1">
        <v>4</v>
      </c>
      <c r="O60" s="1">
        <v>4</v>
      </c>
      <c r="Q60" s="10">
        <v>0</v>
      </c>
      <c r="R60" s="1" t="s">
        <v>486</v>
      </c>
      <c r="S60" s="1">
        <v>2</v>
      </c>
    </row>
    <row r="61" spans="4:19" x14ac:dyDescent="0.25">
      <c r="D61" s="1">
        <v>1</v>
      </c>
      <c r="E61" s="1" t="s">
        <v>459</v>
      </c>
      <c r="G61" s="1" t="s">
        <v>461</v>
      </c>
      <c r="H61" s="1" t="s">
        <v>465</v>
      </c>
      <c r="I61" s="1" t="s">
        <v>473</v>
      </c>
      <c r="J61" s="1" t="s">
        <v>480</v>
      </c>
      <c r="K61" s="1" t="s">
        <v>473</v>
      </c>
      <c r="L61" s="1">
        <v>38</v>
      </c>
      <c r="M61" s="1">
        <v>60</v>
      </c>
      <c r="N61" s="1">
        <v>4</v>
      </c>
      <c r="O61" s="1">
        <v>4</v>
      </c>
      <c r="Q61" s="10">
        <v>0</v>
      </c>
      <c r="R61" s="1" t="s">
        <v>486</v>
      </c>
      <c r="S61" s="1">
        <v>2</v>
      </c>
    </row>
    <row r="62" spans="4:19" x14ac:dyDescent="0.25">
      <c r="D62" s="1">
        <v>1</v>
      </c>
      <c r="E62" s="1" t="s">
        <v>459</v>
      </c>
      <c r="G62" s="1" t="s">
        <v>461</v>
      </c>
      <c r="H62" s="1" t="s">
        <v>465</v>
      </c>
      <c r="I62" s="1" t="s">
        <v>473</v>
      </c>
      <c r="J62" s="1" t="s">
        <v>480</v>
      </c>
      <c r="K62" s="1" t="s">
        <v>473</v>
      </c>
      <c r="L62" s="1">
        <v>38</v>
      </c>
      <c r="M62" s="1">
        <v>60</v>
      </c>
      <c r="N62" s="1">
        <v>4</v>
      </c>
      <c r="O62" s="1">
        <v>4</v>
      </c>
      <c r="Q62" s="10">
        <v>0</v>
      </c>
      <c r="R62" s="1" t="s">
        <v>486</v>
      </c>
      <c r="S62" s="1">
        <v>2</v>
      </c>
    </row>
    <row r="63" spans="4:19" x14ac:dyDescent="0.25">
      <c r="D63" s="1">
        <v>1</v>
      </c>
      <c r="E63" s="1" t="s">
        <v>459</v>
      </c>
      <c r="G63" s="1" t="s">
        <v>461</v>
      </c>
      <c r="H63" s="1" t="s">
        <v>465</v>
      </c>
      <c r="I63" s="1" t="s">
        <v>473</v>
      </c>
      <c r="J63" s="1" t="s">
        <v>480</v>
      </c>
      <c r="K63" s="1" t="s">
        <v>473</v>
      </c>
      <c r="L63" s="1">
        <v>38</v>
      </c>
      <c r="M63" s="1">
        <v>60</v>
      </c>
      <c r="N63" s="1">
        <v>4</v>
      </c>
      <c r="O63" s="1">
        <v>4</v>
      </c>
      <c r="Q63" s="10">
        <v>0</v>
      </c>
      <c r="R63" s="1" t="s">
        <v>486</v>
      </c>
      <c r="S63" s="1">
        <v>2</v>
      </c>
    </row>
    <row r="64" spans="4:19" x14ac:dyDescent="0.25">
      <c r="D64" s="1">
        <v>1</v>
      </c>
      <c r="E64" s="1" t="s">
        <v>459</v>
      </c>
      <c r="G64" s="1" t="s">
        <v>461</v>
      </c>
      <c r="H64" s="1" t="s">
        <v>465</v>
      </c>
      <c r="I64" s="1" t="s">
        <v>473</v>
      </c>
      <c r="J64" s="1" t="s">
        <v>480</v>
      </c>
      <c r="K64" s="1" t="s">
        <v>473</v>
      </c>
      <c r="L64" s="1">
        <v>38</v>
      </c>
      <c r="M64" s="1">
        <v>60</v>
      </c>
      <c r="N64" s="1">
        <v>4</v>
      </c>
      <c r="O64" s="1">
        <v>4</v>
      </c>
      <c r="Q64" s="10">
        <v>0</v>
      </c>
      <c r="R64" s="1" t="s">
        <v>486</v>
      </c>
      <c r="S64" s="1">
        <v>2</v>
      </c>
    </row>
    <row r="65" spans="4:19" x14ac:dyDescent="0.25">
      <c r="D65" s="1">
        <v>1</v>
      </c>
      <c r="E65" s="1" t="s">
        <v>459</v>
      </c>
      <c r="G65" s="1" t="s">
        <v>461</v>
      </c>
      <c r="H65" s="1" t="s">
        <v>465</v>
      </c>
      <c r="I65" s="1" t="s">
        <v>473</v>
      </c>
      <c r="J65" s="1" t="s">
        <v>480</v>
      </c>
      <c r="K65" s="1" t="s">
        <v>473</v>
      </c>
      <c r="L65" s="1">
        <v>38</v>
      </c>
      <c r="M65" s="1">
        <v>60</v>
      </c>
      <c r="N65" s="1">
        <v>4</v>
      </c>
      <c r="O65" s="1">
        <v>4</v>
      </c>
      <c r="Q65" s="10">
        <v>0</v>
      </c>
      <c r="R65" s="1" t="s">
        <v>486</v>
      </c>
      <c r="S65" s="1">
        <v>2</v>
      </c>
    </row>
    <row r="66" spans="4:19" x14ac:dyDescent="0.25">
      <c r="D66" s="1">
        <v>1</v>
      </c>
      <c r="E66" s="1" t="s">
        <v>459</v>
      </c>
      <c r="G66" s="1" t="s">
        <v>461</v>
      </c>
      <c r="H66" s="1" t="s">
        <v>465</v>
      </c>
      <c r="I66" s="1" t="s">
        <v>473</v>
      </c>
      <c r="J66" s="1" t="s">
        <v>480</v>
      </c>
      <c r="K66" s="1" t="s">
        <v>473</v>
      </c>
      <c r="L66" s="1">
        <v>38</v>
      </c>
      <c r="M66" s="1">
        <v>60</v>
      </c>
      <c r="N66" s="1">
        <v>4</v>
      </c>
      <c r="O66" s="1">
        <v>4</v>
      </c>
      <c r="Q66" s="10">
        <v>0</v>
      </c>
      <c r="R66" s="1" t="s">
        <v>486</v>
      </c>
      <c r="S66" s="1">
        <v>2</v>
      </c>
    </row>
    <row r="67" spans="4:19" x14ac:dyDescent="0.25">
      <c r="D67" s="1">
        <v>1</v>
      </c>
      <c r="E67" s="1" t="s">
        <v>459</v>
      </c>
      <c r="G67" s="1" t="s">
        <v>461</v>
      </c>
      <c r="H67" s="1" t="s">
        <v>465</v>
      </c>
      <c r="I67" s="1" t="s">
        <v>473</v>
      </c>
      <c r="J67" s="1" t="s">
        <v>480</v>
      </c>
      <c r="K67" s="1" t="s">
        <v>473</v>
      </c>
      <c r="L67" s="1">
        <v>38</v>
      </c>
      <c r="M67" s="1">
        <v>60</v>
      </c>
      <c r="N67" s="1">
        <v>4</v>
      </c>
      <c r="O67" s="1">
        <v>4</v>
      </c>
      <c r="Q67" s="10">
        <v>0</v>
      </c>
      <c r="R67" s="1" t="s">
        <v>486</v>
      </c>
      <c r="S67" s="1">
        <v>2</v>
      </c>
    </row>
    <row r="68" spans="4:19" x14ac:dyDescent="0.25">
      <c r="D68" s="1">
        <v>1</v>
      </c>
      <c r="E68" s="1" t="s">
        <v>459</v>
      </c>
      <c r="G68" s="1" t="s">
        <v>461</v>
      </c>
      <c r="H68" s="1" t="s">
        <v>465</v>
      </c>
      <c r="I68" s="1" t="s">
        <v>473</v>
      </c>
      <c r="J68" s="1" t="s">
        <v>480</v>
      </c>
      <c r="K68" s="1" t="s">
        <v>473</v>
      </c>
      <c r="L68" s="1">
        <v>38</v>
      </c>
      <c r="M68" s="1">
        <v>60</v>
      </c>
      <c r="N68" s="1">
        <v>4</v>
      </c>
      <c r="O68" s="1">
        <v>4</v>
      </c>
      <c r="Q68" s="10">
        <v>0</v>
      </c>
      <c r="R68" s="1" t="s">
        <v>486</v>
      </c>
      <c r="S68" s="1">
        <v>2</v>
      </c>
    </row>
    <row r="69" spans="4:19" x14ac:dyDescent="0.25">
      <c r="D69" s="1">
        <v>1</v>
      </c>
      <c r="E69" s="1" t="s">
        <v>459</v>
      </c>
      <c r="G69" s="1" t="s">
        <v>461</v>
      </c>
      <c r="H69" s="1" t="s">
        <v>465</v>
      </c>
      <c r="I69" s="1" t="s">
        <v>473</v>
      </c>
      <c r="J69" s="1" t="s">
        <v>480</v>
      </c>
      <c r="K69" s="1" t="s">
        <v>473</v>
      </c>
      <c r="L69" s="1">
        <v>38</v>
      </c>
      <c r="M69" s="1">
        <v>60</v>
      </c>
      <c r="N69" s="1">
        <v>4</v>
      </c>
      <c r="O69" s="1">
        <v>4</v>
      </c>
      <c r="Q69" s="10">
        <v>0</v>
      </c>
      <c r="R69" s="1" t="s">
        <v>486</v>
      </c>
      <c r="S69" s="1">
        <v>2</v>
      </c>
    </row>
    <row r="70" spans="4:19" x14ac:dyDescent="0.25">
      <c r="D70" s="1">
        <v>1</v>
      </c>
      <c r="E70" s="1" t="s">
        <v>459</v>
      </c>
      <c r="G70" s="1" t="s">
        <v>461</v>
      </c>
      <c r="H70" s="1" t="s">
        <v>465</v>
      </c>
      <c r="I70" s="1" t="s">
        <v>473</v>
      </c>
      <c r="J70" s="1" t="s">
        <v>480</v>
      </c>
      <c r="K70" s="1" t="s">
        <v>473</v>
      </c>
      <c r="L70" s="1">
        <v>38</v>
      </c>
      <c r="M70" s="1">
        <v>60</v>
      </c>
      <c r="N70" s="1">
        <v>4</v>
      </c>
      <c r="O70" s="1">
        <v>4</v>
      </c>
      <c r="Q70" s="10">
        <v>0</v>
      </c>
      <c r="R70" s="1" t="s">
        <v>486</v>
      </c>
      <c r="S70" s="1">
        <v>2</v>
      </c>
    </row>
    <row r="71" spans="4:19" x14ac:dyDescent="0.25">
      <c r="D71" s="1">
        <v>1</v>
      </c>
      <c r="E71" s="1" t="s">
        <v>459</v>
      </c>
      <c r="G71" s="1" t="s">
        <v>461</v>
      </c>
      <c r="H71" s="1" t="s">
        <v>465</v>
      </c>
      <c r="I71" s="1" t="s">
        <v>473</v>
      </c>
      <c r="J71" s="1" t="s">
        <v>480</v>
      </c>
      <c r="K71" s="1" t="s">
        <v>473</v>
      </c>
      <c r="L71" s="1">
        <v>38</v>
      </c>
      <c r="M71" s="1">
        <v>60</v>
      </c>
      <c r="N71" s="1">
        <v>4</v>
      </c>
      <c r="O71" s="1">
        <v>4</v>
      </c>
      <c r="Q71" s="10">
        <v>0</v>
      </c>
      <c r="R71" s="1" t="s">
        <v>486</v>
      </c>
      <c r="S71" s="1">
        <v>2</v>
      </c>
    </row>
    <row r="72" spans="4:19" x14ac:dyDescent="0.25">
      <c r="D72" s="1">
        <v>1</v>
      </c>
      <c r="E72" s="1" t="s">
        <v>459</v>
      </c>
      <c r="G72" s="1" t="s">
        <v>461</v>
      </c>
      <c r="H72" s="1" t="s">
        <v>465</v>
      </c>
      <c r="I72" s="1" t="s">
        <v>473</v>
      </c>
      <c r="J72" s="1" t="s">
        <v>480</v>
      </c>
      <c r="K72" s="1" t="s">
        <v>473</v>
      </c>
      <c r="L72" s="1">
        <v>38</v>
      </c>
      <c r="M72" s="1">
        <v>60</v>
      </c>
      <c r="N72" s="1">
        <v>4</v>
      </c>
      <c r="O72" s="1">
        <v>4</v>
      </c>
      <c r="Q72" s="10">
        <v>0</v>
      </c>
      <c r="R72" s="1" t="s">
        <v>486</v>
      </c>
      <c r="S72" s="1">
        <v>2</v>
      </c>
    </row>
    <row r="73" spans="4:19" x14ac:dyDescent="0.25">
      <c r="D73" s="1">
        <v>1</v>
      </c>
      <c r="E73" s="1" t="s">
        <v>459</v>
      </c>
      <c r="G73" s="1" t="s">
        <v>461</v>
      </c>
      <c r="H73" s="1" t="s">
        <v>465</v>
      </c>
      <c r="I73" s="1" t="s">
        <v>473</v>
      </c>
      <c r="J73" s="1" t="s">
        <v>480</v>
      </c>
      <c r="K73" s="1" t="s">
        <v>473</v>
      </c>
      <c r="L73" s="1">
        <v>38</v>
      </c>
      <c r="M73" s="1">
        <v>60</v>
      </c>
      <c r="N73" s="1">
        <v>4</v>
      </c>
      <c r="O73" s="1">
        <v>4</v>
      </c>
      <c r="Q73" s="10">
        <v>0</v>
      </c>
      <c r="R73" s="1" t="s">
        <v>486</v>
      </c>
      <c r="S73" s="1">
        <v>2</v>
      </c>
    </row>
    <row r="74" spans="4:19" x14ac:dyDescent="0.25">
      <c r="D74" s="1">
        <v>1</v>
      </c>
      <c r="E74" s="1" t="s">
        <v>459</v>
      </c>
      <c r="G74" s="1" t="s">
        <v>461</v>
      </c>
      <c r="H74" s="1" t="s">
        <v>465</v>
      </c>
      <c r="I74" s="1" t="s">
        <v>473</v>
      </c>
      <c r="J74" s="1" t="s">
        <v>480</v>
      </c>
      <c r="K74" s="1" t="s">
        <v>473</v>
      </c>
      <c r="L74" s="1">
        <v>38</v>
      </c>
      <c r="M74" s="1">
        <v>60</v>
      </c>
      <c r="N74" s="1">
        <v>4</v>
      </c>
      <c r="O74" s="1">
        <v>4</v>
      </c>
      <c r="Q74" s="10">
        <v>0</v>
      </c>
      <c r="R74" s="1" t="s">
        <v>486</v>
      </c>
      <c r="S74" s="1">
        <v>2</v>
      </c>
    </row>
    <row r="75" spans="4:19" x14ac:dyDescent="0.25">
      <c r="D75" s="1">
        <v>1</v>
      </c>
      <c r="E75" s="1" t="s">
        <v>459</v>
      </c>
      <c r="G75" s="1" t="s">
        <v>461</v>
      </c>
      <c r="H75" s="1" t="s">
        <v>465</v>
      </c>
      <c r="I75" s="1" t="s">
        <v>473</v>
      </c>
      <c r="J75" s="1" t="s">
        <v>480</v>
      </c>
      <c r="K75" s="1" t="s">
        <v>473</v>
      </c>
      <c r="L75" s="1">
        <v>38</v>
      </c>
      <c r="M75" s="1">
        <v>60</v>
      </c>
      <c r="N75" s="1">
        <v>4</v>
      </c>
      <c r="O75" s="1">
        <v>4</v>
      </c>
      <c r="Q75" s="10">
        <v>0</v>
      </c>
      <c r="R75" s="1" t="s">
        <v>486</v>
      </c>
      <c r="S75" s="1">
        <v>2</v>
      </c>
    </row>
    <row r="76" spans="4:19" x14ac:dyDescent="0.25">
      <c r="D76" s="1">
        <v>1</v>
      </c>
      <c r="E76" s="1" t="s">
        <v>459</v>
      </c>
      <c r="G76" s="1" t="s">
        <v>461</v>
      </c>
      <c r="H76" s="1" t="s">
        <v>465</v>
      </c>
      <c r="I76" s="1" t="s">
        <v>473</v>
      </c>
      <c r="J76" s="1" t="s">
        <v>480</v>
      </c>
      <c r="K76" s="1" t="s">
        <v>473</v>
      </c>
      <c r="L76" s="1">
        <v>38</v>
      </c>
      <c r="M76" s="1">
        <v>60</v>
      </c>
      <c r="N76" s="1">
        <v>4</v>
      </c>
      <c r="O76" s="1">
        <v>4</v>
      </c>
      <c r="Q76" s="10">
        <v>0</v>
      </c>
      <c r="R76" s="1" t="s">
        <v>486</v>
      </c>
      <c r="S76" s="1">
        <v>2</v>
      </c>
    </row>
    <row r="77" spans="4:19" x14ac:dyDescent="0.25">
      <c r="D77" s="1">
        <v>1</v>
      </c>
      <c r="E77" s="1" t="s">
        <v>459</v>
      </c>
      <c r="G77" s="1" t="s">
        <v>461</v>
      </c>
      <c r="H77" s="1" t="s">
        <v>465</v>
      </c>
      <c r="I77" s="1" t="s">
        <v>473</v>
      </c>
      <c r="J77" s="1" t="s">
        <v>480</v>
      </c>
      <c r="K77" s="1" t="s">
        <v>473</v>
      </c>
      <c r="L77" s="1">
        <v>38</v>
      </c>
      <c r="M77" s="1">
        <v>60</v>
      </c>
      <c r="N77" s="1">
        <v>4</v>
      </c>
      <c r="O77" s="1">
        <v>4</v>
      </c>
      <c r="Q77" s="10">
        <v>0</v>
      </c>
      <c r="R77" s="1" t="s">
        <v>486</v>
      </c>
      <c r="S77" s="1">
        <v>2</v>
      </c>
    </row>
    <row r="78" spans="4:19" x14ac:dyDescent="0.25">
      <c r="D78" s="1">
        <v>1</v>
      </c>
      <c r="E78" s="1" t="s">
        <v>459</v>
      </c>
      <c r="G78" s="1" t="s">
        <v>461</v>
      </c>
      <c r="H78" s="1" t="s">
        <v>465</v>
      </c>
      <c r="I78" s="1" t="s">
        <v>473</v>
      </c>
      <c r="J78" s="1" t="s">
        <v>480</v>
      </c>
      <c r="K78" s="1" t="s">
        <v>473</v>
      </c>
      <c r="L78" s="1">
        <v>38</v>
      </c>
      <c r="M78" s="1">
        <v>60</v>
      </c>
      <c r="N78" s="1">
        <v>4</v>
      </c>
      <c r="O78" s="1">
        <v>4</v>
      </c>
      <c r="Q78" s="10">
        <v>0</v>
      </c>
      <c r="R78" s="1" t="s">
        <v>486</v>
      </c>
      <c r="S78" s="1">
        <v>2</v>
      </c>
    </row>
    <row r="79" spans="4:19" x14ac:dyDescent="0.25">
      <c r="D79" s="1">
        <v>1</v>
      </c>
      <c r="E79" s="1" t="s">
        <v>459</v>
      </c>
      <c r="G79" s="1" t="s">
        <v>461</v>
      </c>
      <c r="H79" s="1" t="s">
        <v>466</v>
      </c>
      <c r="I79" s="1" t="s">
        <v>474</v>
      </c>
      <c r="J79" s="1" t="s">
        <v>481</v>
      </c>
      <c r="K79" s="1" t="s">
        <v>474</v>
      </c>
      <c r="L79" s="1">
        <v>75</v>
      </c>
      <c r="M79" s="1">
        <v>30</v>
      </c>
      <c r="N79" s="1">
        <v>4</v>
      </c>
      <c r="O79" s="1">
        <v>4</v>
      </c>
      <c r="Q79" s="10">
        <v>0</v>
      </c>
      <c r="R79" s="1" t="s">
        <v>487</v>
      </c>
      <c r="S79" s="1">
        <v>0</v>
      </c>
    </row>
    <row r="80" spans="4:19" x14ac:dyDescent="0.25">
      <c r="D80" s="1">
        <v>1</v>
      </c>
      <c r="E80" s="1" t="s">
        <v>459</v>
      </c>
      <c r="G80" s="1" t="s">
        <v>461</v>
      </c>
      <c r="H80" s="1" t="s">
        <v>466</v>
      </c>
      <c r="I80" s="1" t="s">
        <v>474</v>
      </c>
      <c r="J80" s="1" t="s">
        <v>481</v>
      </c>
      <c r="K80" s="1" t="s">
        <v>474</v>
      </c>
      <c r="L80" s="1">
        <v>75</v>
      </c>
      <c r="M80" s="1">
        <v>30</v>
      </c>
      <c r="N80" s="1">
        <v>4</v>
      </c>
      <c r="O80" s="1">
        <v>4</v>
      </c>
      <c r="Q80" s="10">
        <v>0</v>
      </c>
      <c r="R80" s="1" t="s">
        <v>487</v>
      </c>
      <c r="S80" s="1">
        <v>0</v>
      </c>
    </row>
    <row r="81" spans="4:19" x14ac:dyDescent="0.25">
      <c r="D81" s="1">
        <v>1</v>
      </c>
      <c r="E81" s="1" t="s">
        <v>459</v>
      </c>
      <c r="G81" s="1" t="s">
        <v>461</v>
      </c>
      <c r="H81" s="1" t="s">
        <v>466</v>
      </c>
      <c r="I81" s="1" t="s">
        <v>474</v>
      </c>
      <c r="J81" s="1" t="s">
        <v>481</v>
      </c>
      <c r="K81" s="1" t="s">
        <v>474</v>
      </c>
      <c r="L81" s="1">
        <v>75</v>
      </c>
      <c r="M81" s="1">
        <v>30</v>
      </c>
      <c r="N81" s="1">
        <v>4</v>
      </c>
      <c r="O81" s="1">
        <v>4</v>
      </c>
      <c r="Q81" s="10">
        <v>0</v>
      </c>
      <c r="R81" s="1" t="s">
        <v>487</v>
      </c>
      <c r="S81" s="1">
        <v>0</v>
      </c>
    </row>
    <row r="82" spans="4:19" x14ac:dyDescent="0.25">
      <c r="D82" s="1">
        <v>1</v>
      </c>
      <c r="E82" s="1" t="s">
        <v>459</v>
      </c>
      <c r="G82" s="1" t="s">
        <v>461</v>
      </c>
      <c r="H82" s="1" t="s">
        <v>466</v>
      </c>
      <c r="I82" s="1" t="s">
        <v>474</v>
      </c>
      <c r="J82" s="1" t="s">
        <v>481</v>
      </c>
      <c r="K82" s="1" t="s">
        <v>474</v>
      </c>
      <c r="L82" s="1">
        <v>75</v>
      </c>
      <c r="M82" s="1">
        <v>30</v>
      </c>
      <c r="N82" s="1">
        <v>4</v>
      </c>
      <c r="O82" s="1">
        <v>4</v>
      </c>
      <c r="Q82" s="10">
        <v>0</v>
      </c>
      <c r="R82" s="1" t="s">
        <v>487</v>
      </c>
      <c r="S82" s="1">
        <v>0</v>
      </c>
    </row>
    <row r="83" spans="4:19" x14ac:dyDescent="0.25">
      <c r="D83" s="1">
        <v>1</v>
      </c>
      <c r="E83" s="1" t="s">
        <v>459</v>
      </c>
      <c r="G83" s="1" t="s">
        <v>461</v>
      </c>
      <c r="H83" s="1" t="s">
        <v>466</v>
      </c>
      <c r="I83" s="1" t="s">
        <v>474</v>
      </c>
      <c r="J83" s="1" t="s">
        <v>481</v>
      </c>
      <c r="K83" s="1" t="s">
        <v>474</v>
      </c>
      <c r="L83" s="1">
        <v>75</v>
      </c>
      <c r="M83" s="1">
        <v>30</v>
      </c>
      <c r="N83" s="1">
        <v>4</v>
      </c>
      <c r="O83" s="1">
        <v>4</v>
      </c>
      <c r="Q83" s="10">
        <v>0</v>
      </c>
      <c r="R83" s="1" t="s">
        <v>487</v>
      </c>
      <c r="S83" s="1">
        <v>0</v>
      </c>
    </row>
    <row r="84" spans="4:19" x14ac:dyDescent="0.25">
      <c r="D84" s="1">
        <v>1</v>
      </c>
      <c r="E84" s="1" t="s">
        <v>459</v>
      </c>
      <c r="G84" s="1" t="s">
        <v>461</v>
      </c>
      <c r="H84" s="1" t="s">
        <v>466</v>
      </c>
      <c r="I84" s="1" t="s">
        <v>474</v>
      </c>
      <c r="J84" s="1" t="s">
        <v>481</v>
      </c>
      <c r="K84" s="1" t="s">
        <v>474</v>
      </c>
      <c r="L84" s="1">
        <v>75</v>
      </c>
      <c r="M84" s="1">
        <v>30</v>
      </c>
      <c r="N84" s="1">
        <v>4</v>
      </c>
      <c r="O84" s="1">
        <v>4</v>
      </c>
      <c r="Q84" s="10">
        <v>0</v>
      </c>
      <c r="R84" s="1" t="s">
        <v>487</v>
      </c>
      <c r="S84" s="1">
        <v>0</v>
      </c>
    </row>
    <row r="85" spans="4:19" x14ac:dyDescent="0.25">
      <c r="D85" s="1">
        <v>1</v>
      </c>
      <c r="E85" s="1" t="s">
        <v>459</v>
      </c>
      <c r="G85" s="1" t="s">
        <v>461</v>
      </c>
      <c r="H85" s="1" t="s">
        <v>466</v>
      </c>
      <c r="I85" s="1" t="s">
        <v>474</v>
      </c>
      <c r="J85" s="1" t="s">
        <v>481</v>
      </c>
      <c r="K85" s="1" t="s">
        <v>474</v>
      </c>
      <c r="L85" s="1">
        <v>75</v>
      </c>
      <c r="M85" s="1">
        <v>30</v>
      </c>
      <c r="N85" s="1">
        <v>4</v>
      </c>
      <c r="O85" s="1">
        <v>4</v>
      </c>
      <c r="Q85" s="10">
        <v>0</v>
      </c>
      <c r="R85" s="1" t="s">
        <v>487</v>
      </c>
      <c r="S85" s="1">
        <v>0</v>
      </c>
    </row>
    <row r="86" spans="4:19" x14ac:dyDescent="0.25">
      <c r="D86" s="1">
        <v>1</v>
      </c>
      <c r="E86" s="1" t="s">
        <v>459</v>
      </c>
      <c r="G86" s="1" t="s">
        <v>461</v>
      </c>
      <c r="H86" s="1" t="s">
        <v>466</v>
      </c>
      <c r="I86" s="1" t="s">
        <v>474</v>
      </c>
      <c r="J86" s="1" t="s">
        <v>481</v>
      </c>
      <c r="K86" s="1" t="s">
        <v>474</v>
      </c>
      <c r="L86" s="1">
        <v>75</v>
      </c>
      <c r="M86" s="1">
        <v>30</v>
      </c>
      <c r="N86" s="1">
        <v>4</v>
      </c>
      <c r="O86" s="1">
        <v>4</v>
      </c>
      <c r="Q86" s="10">
        <v>0</v>
      </c>
      <c r="R86" s="1" t="s">
        <v>487</v>
      </c>
      <c r="S86" s="1">
        <v>0</v>
      </c>
    </row>
    <row r="87" spans="4:19" x14ac:dyDescent="0.25">
      <c r="D87" s="1">
        <v>1</v>
      </c>
      <c r="E87" s="1" t="s">
        <v>459</v>
      </c>
      <c r="G87" s="1" t="s">
        <v>461</v>
      </c>
      <c r="H87" s="1" t="s">
        <v>466</v>
      </c>
      <c r="I87" s="1" t="s">
        <v>474</v>
      </c>
      <c r="J87" s="1" t="s">
        <v>481</v>
      </c>
      <c r="K87" s="1" t="s">
        <v>474</v>
      </c>
      <c r="L87" s="1">
        <v>75</v>
      </c>
      <c r="M87" s="1">
        <v>30</v>
      </c>
      <c r="N87" s="1">
        <v>4</v>
      </c>
      <c r="O87" s="1">
        <v>4</v>
      </c>
      <c r="Q87" s="10">
        <v>0</v>
      </c>
      <c r="R87" s="1" t="s">
        <v>487</v>
      </c>
      <c r="S87" s="1">
        <v>0</v>
      </c>
    </row>
    <row r="88" spans="4:19" x14ac:dyDescent="0.25">
      <c r="D88" s="1">
        <v>1</v>
      </c>
      <c r="E88" s="1" t="s">
        <v>459</v>
      </c>
      <c r="G88" s="1" t="s">
        <v>461</v>
      </c>
      <c r="H88" s="1" t="s">
        <v>466</v>
      </c>
      <c r="I88" s="1" t="s">
        <v>474</v>
      </c>
      <c r="J88" s="1" t="s">
        <v>481</v>
      </c>
      <c r="K88" s="1" t="s">
        <v>474</v>
      </c>
      <c r="L88" s="1">
        <v>75</v>
      </c>
      <c r="M88" s="1">
        <v>30</v>
      </c>
      <c r="N88" s="1">
        <v>4</v>
      </c>
      <c r="O88" s="1">
        <v>4</v>
      </c>
      <c r="Q88" s="10">
        <v>0</v>
      </c>
      <c r="R88" s="1" t="s">
        <v>487</v>
      </c>
      <c r="S88" s="1">
        <v>0</v>
      </c>
    </row>
    <row r="89" spans="4:19" x14ac:dyDescent="0.25">
      <c r="D89" s="1">
        <v>1</v>
      </c>
      <c r="E89" s="1" t="s">
        <v>459</v>
      </c>
      <c r="G89" s="1" t="s">
        <v>461</v>
      </c>
      <c r="H89" s="1" t="s">
        <v>466</v>
      </c>
      <c r="I89" s="1" t="s">
        <v>474</v>
      </c>
      <c r="J89" s="1" t="s">
        <v>481</v>
      </c>
      <c r="K89" s="1" t="s">
        <v>474</v>
      </c>
      <c r="L89" s="1">
        <v>75</v>
      </c>
      <c r="M89" s="1">
        <v>30</v>
      </c>
      <c r="N89" s="1">
        <v>4</v>
      </c>
      <c r="O89" s="1">
        <v>4</v>
      </c>
      <c r="Q89" s="10">
        <v>0</v>
      </c>
      <c r="R89" s="1" t="s">
        <v>487</v>
      </c>
      <c r="S89" s="1">
        <v>0</v>
      </c>
    </row>
    <row r="90" spans="4:19" x14ac:dyDescent="0.25">
      <c r="D90" s="1">
        <v>1</v>
      </c>
      <c r="E90" s="1" t="s">
        <v>459</v>
      </c>
      <c r="G90" s="1" t="s">
        <v>461</v>
      </c>
      <c r="H90" s="1" t="s">
        <v>466</v>
      </c>
      <c r="I90" s="1" t="s">
        <v>474</v>
      </c>
      <c r="J90" s="1" t="s">
        <v>481</v>
      </c>
      <c r="K90" s="1" t="s">
        <v>474</v>
      </c>
      <c r="L90" s="1">
        <v>75</v>
      </c>
      <c r="M90" s="1">
        <v>30</v>
      </c>
      <c r="N90" s="1">
        <v>4</v>
      </c>
      <c r="O90" s="1">
        <v>4</v>
      </c>
      <c r="Q90" s="10">
        <v>0</v>
      </c>
      <c r="R90" s="1" t="s">
        <v>487</v>
      </c>
      <c r="S90" s="1">
        <v>0</v>
      </c>
    </row>
    <row r="91" spans="4:19" x14ac:dyDescent="0.25">
      <c r="D91" s="1">
        <v>1</v>
      </c>
      <c r="E91" s="1" t="s">
        <v>459</v>
      </c>
      <c r="G91" s="1" t="s">
        <v>461</v>
      </c>
      <c r="H91" s="1" t="s">
        <v>466</v>
      </c>
      <c r="I91" s="1" t="s">
        <v>474</v>
      </c>
      <c r="J91" s="1" t="s">
        <v>481</v>
      </c>
      <c r="K91" s="1" t="s">
        <v>474</v>
      </c>
      <c r="L91" s="1">
        <v>75</v>
      </c>
      <c r="M91" s="1">
        <v>30</v>
      </c>
      <c r="N91" s="1">
        <v>4</v>
      </c>
      <c r="O91" s="1">
        <v>4</v>
      </c>
      <c r="Q91" s="10">
        <v>0</v>
      </c>
      <c r="R91" s="1" t="s">
        <v>487</v>
      </c>
      <c r="S91" s="1">
        <v>0</v>
      </c>
    </row>
    <row r="92" spans="4:19" x14ac:dyDescent="0.25">
      <c r="D92" s="1">
        <v>1</v>
      </c>
      <c r="E92" s="1" t="s">
        <v>459</v>
      </c>
      <c r="G92" s="1" t="s">
        <v>461</v>
      </c>
      <c r="H92" s="1" t="s">
        <v>466</v>
      </c>
      <c r="I92" s="1" t="s">
        <v>474</v>
      </c>
      <c r="J92" s="1" t="s">
        <v>481</v>
      </c>
      <c r="K92" s="1" t="s">
        <v>474</v>
      </c>
      <c r="L92" s="1">
        <v>75</v>
      </c>
      <c r="M92" s="1">
        <v>30</v>
      </c>
      <c r="N92" s="1">
        <v>4</v>
      </c>
      <c r="O92" s="1">
        <v>4</v>
      </c>
      <c r="Q92" s="10">
        <v>0</v>
      </c>
      <c r="R92" s="1" t="s">
        <v>487</v>
      </c>
      <c r="S92" s="1">
        <v>0</v>
      </c>
    </row>
    <row r="93" spans="4:19" x14ac:dyDescent="0.25">
      <c r="D93" s="1">
        <v>1</v>
      </c>
      <c r="E93" s="1" t="s">
        <v>459</v>
      </c>
      <c r="G93" s="1" t="s">
        <v>461</v>
      </c>
      <c r="H93" s="1" t="s">
        <v>466</v>
      </c>
      <c r="I93" s="1" t="s">
        <v>474</v>
      </c>
      <c r="J93" s="1" t="s">
        <v>481</v>
      </c>
      <c r="K93" s="1" t="s">
        <v>474</v>
      </c>
      <c r="L93" s="1">
        <v>75</v>
      </c>
      <c r="M93" s="1">
        <v>30</v>
      </c>
      <c r="N93" s="1">
        <v>4</v>
      </c>
      <c r="O93" s="1">
        <v>4</v>
      </c>
      <c r="Q93" s="10">
        <v>0</v>
      </c>
      <c r="R93" s="1" t="s">
        <v>487</v>
      </c>
      <c r="S93" s="1">
        <v>0</v>
      </c>
    </row>
    <row r="94" spans="4:19" x14ac:dyDescent="0.25">
      <c r="D94" s="1">
        <v>1</v>
      </c>
      <c r="E94" s="1" t="s">
        <v>459</v>
      </c>
      <c r="G94" s="1" t="s">
        <v>461</v>
      </c>
      <c r="H94" s="1" t="s">
        <v>466</v>
      </c>
      <c r="I94" s="1" t="s">
        <v>474</v>
      </c>
      <c r="J94" s="1" t="s">
        <v>481</v>
      </c>
      <c r="K94" s="1" t="s">
        <v>474</v>
      </c>
      <c r="L94" s="1">
        <v>75</v>
      </c>
      <c r="M94" s="1">
        <v>30</v>
      </c>
      <c r="N94" s="1">
        <v>4</v>
      </c>
      <c r="O94" s="1">
        <v>4</v>
      </c>
      <c r="Q94" s="10">
        <v>0</v>
      </c>
      <c r="R94" s="1" t="s">
        <v>487</v>
      </c>
      <c r="S94" s="1">
        <v>0</v>
      </c>
    </row>
    <row r="95" spans="4:19" x14ac:dyDescent="0.25">
      <c r="D95" s="1">
        <v>1</v>
      </c>
      <c r="E95" s="1" t="s">
        <v>459</v>
      </c>
      <c r="G95" s="1" t="s">
        <v>461</v>
      </c>
      <c r="H95" s="1" t="s">
        <v>466</v>
      </c>
      <c r="I95" s="1" t="s">
        <v>474</v>
      </c>
      <c r="J95" s="1" t="s">
        <v>481</v>
      </c>
      <c r="K95" s="1" t="s">
        <v>474</v>
      </c>
      <c r="L95" s="1">
        <v>75</v>
      </c>
      <c r="M95" s="1">
        <v>30</v>
      </c>
      <c r="N95" s="1">
        <v>4</v>
      </c>
      <c r="O95" s="1">
        <v>4</v>
      </c>
      <c r="Q95" s="10">
        <v>0</v>
      </c>
      <c r="R95" s="1" t="s">
        <v>487</v>
      </c>
      <c r="S95" s="1">
        <v>0</v>
      </c>
    </row>
    <row r="96" spans="4:19" x14ac:dyDescent="0.25">
      <c r="D96" s="1">
        <v>1</v>
      </c>
      <c r="E96" s="1" t="s">
        <v>459</v>
      </c>
      <c r="G96" s="1" t="s">
        <v>461</v>
      </c>
      <c r="H96" s="1" t="s">
        <v>466</v>
      </c>
      <c r="I96" s="1" t="s">
        <v>474</v>
      </c>
      <c r="J96" s="1" t="s">
        <v>481</v>
      </c>
      <c r="K96" s="1" t="s">
        <v>474</v>
      </c>
      <c r="L96" s="1">
        <v>75</v>
      </c>
      <c r="M96" s="1">
        <v>30</v>
      </c>
      <c r="N96" s="1">
        <v>4</v>
      </c>
      <c r="O96" s="1">
        <v>4</v>
      </c>
      <c r="Q96" s="10">
        <v>0</v>
      </c>
      <c r="R96" s="1" t="s">
        <v>487</v>
      </c>
      <c r="S96" s="1">
        <v>0</v>
      </c>
    </row>
    <row r="97" spans="4:19" x14ac:dyDescent="0.25">
      <c r="D97" s="1">
        <v>1</v>
      </c>
      <c r="E97" s="1" t="s">
        <v>459</v>
      </c>
      <c r="G97" s="1" t="s">
        <v>461</v>
      </c>
      <c r="H97" s="1" t="s">
        <v>466</v>
      </c>
      <c r="I97" s="1" t="s">
        <v>474</v>
      </c>
      <c r="J97" s="1" t="s">
        <v>481</v>
      </c>
      <c r="K97" s="1" t="s">
        <v>474</v>
      </c>
      <c r="L97" s="1">
        <v>75</v>
      </c>
      <c r="M97" s="1">
        <v>30</v>
      </c>
      <c r="N97" s="1">
        <v>4</v>
      </c>
      <c r="O97" s="1">
        <v>4</v>
      </c>
      <c r="Q97" s="10">
        <v>0</v>
      </c>
      <c r="R97" s="1" t="s">
        <v>487</v>
      </c>
      <c r="S97" s="1">
        <v>0</v>
      </c>
    </row>
    <row r="98" spans="4:19" x14ac:dyDescent="0.25">
      <c r="D98" s="1">
        <v>1</v>
      </c>
      <c r="E98" s="1" t="s">
        <v>459</v>
      </c>
      <c r="G98" s="1" t="s">
        <v>461</v>
      </c>
      <c r="H98" s="1" t="s">
        <v>466</v>
      </c>
      <c r="I98" s="1" t="s">
        <v>474</v>
      </c>
      <c r="J98" s="1" t="s">
        <v>481</v>
      </c>
      <c r="K98" s="1" t="s">
        <v>474</v>
      </c>
      <c r="L98" s="1">
        <v>75</v>
      </c>
      <c r="M98" s="1">
        <v>30</v>
      </c>
      <c r="N98" s="1">
        <v>4</v>
      </c>
      <c r="O98" s="1">
        <v>4</v>
      </c>
      <c r="Q98" s="10">
        <v>0</v>
      </c>
      <c r="R98" s="1" t="s">
        <v>487</v>
      </c>
      <c r="S98" s="1">
        <v>0</v>
      </c>
    </row>
    <row r="99" spans="4:19" x14ac:dyDescent="0.25">
      <c r="D99" s="1">
        <v>1</v>
      </c>
      <c r="E99" s="1" t="s">
        <v>459</v>
      </c>
      <c r="G99" s="1" t="s">
        <v>461</v>
      </c>
      <c r="H99" s="1" t="s">
        <v>466</v>
      </c>
      <c r="I99" s="1" t="s">
        <v>474</v>
      </c>
      <c r="J99" s="1" t="s">
        <v>481</v>
      </c>
      <c r="K99" s="1" t="s">
        <v>474</v>
      </c>
      <c r="L99" s="1">
        <v>75</v>
      </c>
      <c r="M99" s="1">
        <v>30</v>
      </c>
      <c r="N99" s="1">
        <v>4</v>
      </c>
      <c r="O99" s="1">
        <v>4</v>
      </c>
      <c r="Q99" s="10">
        <v>0</v>
      </c>
      <c r="R99" s="1" t="s">
        <v>487</v>
      </c>
      <c r="S99" s="1">
        <v>0</v>
      </c>
    </row>
    <row r="100" spans="4:19" x14ac:dyDescent="0.25">
      <c r="D100" s="1">
        <v>1</v>
      </c>
      <c r="E100" s="1" t="s">
        <v>459</v>
      </c>
      <c r="G100" s="1" t="s">
        <v>461</v>
      </c>
      <c r="H100" s="1" t="s">
        <v>466</v>
      </c>
      <c r="I100" s="1" t="s">
        <v>474</v>
      </c>
      <c r="J100" s="1" t="s">
        <v>481</v>
      </c>
      <c r="K100" s="1" t="s">
        <v>474</v>
      </c>
      <c r="L100" s="1">
        <v>75</v>
      </c>
      <c r="M100" s="1">
        <v>30</v>
      </c>
      <c r="N100" s="1">
        <v>4</v>
      </c>
      <c r="O100" s="1">
        <v>4</v>
      </c>
      <c r="Q100" s="10">
        <v>0</v>
      </c>
      <c r="R100" s="1" t="s">
        <v>487</v>
      </c>
      <c r="S100" s="1">
        <v>0</v>
      </c>
    </row>
    <row r="101" spans="4:19" x14ac:dyDescent="0.25">
      <c r="D101" s="1">
        <v>1</v>
      </c>
      <c r="E101" s="1" t="s">
        <v>459</v>
      </c>
      <c r="G101" s="1" t="s">
        <v>461</v>
      </c>
      <c r="H101" s="1" t="s">
        <v>466</v>
      </c>
      <c r="I101" s="1" t="s">
        <v>474</v>
      </c>
      <c r="J101" s="1" t="s">
        <v>481</v>
      </c>
      <c r="K101" s="1" t="s">
        <v>474</v>
      </c>
      <c r="L101" s="1">
        <v>75</v>
      </c>
      <c r="M101" s="1">
        <v>30</v>
      </c>
      <c r="N101" s="1">
        <v>4</v>
      </c>
      <c r="O101" s="1">
        <v>4</v>
      </c>
      <c r="Q101" s="10">
        <v>0</v>
      </c>
      <c r="R101" s="1" t="s">
        <v>487</v>
      </c>
      <c r="S101" s="1">
        <v>0</v>
      </c>
    </row>
    <row r="102" spans="4:19" x14ac:dyDescent="0.25">
      <c r="D102" s="1">
        <v>1</v>
      </c>
      <c r="E102" s="1" t="s">
        <v>459</v>
      </c>
      <c r="G102" s="1" t="s">
        <v>461</v>
      </c>
      <c r="H102" s="1" t="s">
        <v>466</v>
      </c>
      <c r="I102" s="1" t="s">
        <v>474</v>
      </c>
      <c r="J102" s="1" t="s">
        <v>481</v>
      </c>
      <c r="K102" s="1" t="s">
        <v>474</v>
      </c>
      <c r="L102" s="1">
        <v>75</v>
      </c>
      <c r="M102" s="1">
        <v>30</v>
      </c>
      <c r="N102" s="1">
        <v>4</v>
      </c>
      <c r="O102" s="1">
        <v>4</v>
      </c>
      <c r="Q102" s="10">
        <v>0</v>
      </c>
      <c r="R102" s="1" t="s">
        <v>487</v>
      </c>
      <c r="S102" s="1">
        <v>0</v>
      </c>
    </row>
    <row r="103" spans="4:19" x14ac:dyDescent="0.25">
      <c r="D103" s="1">
        <v>1</v>
      </c>
      <c r="E103" s="1" t="s">
        <v>459</v>
      </c>
      <c r="G103" s="1" t="s">
        <v>461</v>
      </c>
      <c r="H103" s="1" t="s">
        <v>466</v>
      </c>
      <c r="I103" s="1" t="s">
        <v>474</v>
      </c>
      <c r="J103" s="1" t="s">
        <v>481</v>
      </c>
      <c r="K103" s="1" t="s">
        <v>474</v>
      </c>
      <c r="L103" s="1">
        <v>75</v>
      </c>
      <c r="M103" s="1">
        <v>30</v>
      </c>
      <c r="N103" s="1">
        <v>4</v>
      </c>
      <c r="O103" s="1">
        <v>4</v>
      </c>
      <c r="Q103" s="10">
        <v>0</v>
      </c>
      <c r="R103" s="1" t="s">
        <v>487</v>
      </c>
      <c r="S103" s="1">
        <v>0</v>
      </c>
    </row>
    <row r="104" spans="4:19" x14ac:dyDescent="0.25">
      <c r="D104" s="1">
        <v>1</v>
      </c>
      <c r="E104" s="1" t="s">
        <v>459</v>
      </c>
      <c r="G104" s="1" t="s">
        <v>461</v>
      </c>
      <c r="H104" s="1" t="s">
        <v>466</v>
      </c>
      <c r="I104" s="1" t="s">
        <v>474</v>
      </c>
      <c r="J104" s="1" t="s">
        <v>481</v>
      </c>
      <c r="K104" s="1" t="s">
        <v>474</v>
      </c>
      <c r="L104" s="1">
        <v>75</v>
      </c>
      <c r="M104" s="1">
        <v>30</v>
      </c>
      <c r="N104" s="1">
        <v>4</v>
      </c>
      <c r="O104" s="1">
        <v>4</v>
      </c>
      <c r="Q104" s="10">
        <v>0</v>
      </c>
      <c r="R104" s="1" t="s">
        <v>487</v>
      </c>
      <c r="S104" s="1">
        <v>0</v>
      </c>
    </row>
    <row r="105" spans="4:19" x14ac:dyDescent="0.25">
      <c r="D105" s="1">
        <v>1</v>
      </c>
      <c r="E105" s="1" t="s">
        <v>459</v>
      </c>
      <c r="G105" s="1" t="s">
        <v>461</v>
      </c>
      <c r="H105" s="1" t="s">
        <v>466</v>
      </c>
      <c r="I105" s="1" t="s">
        <v>474</v>
      </c>
      <c r="J105" s="1" t="s">
        <v>481</v>
      </c>
      <c r="K105" s="1" t="s">
        <v>474</v>
      </c>
      <c r="L105" s="1">
        <v>75</v>
      </c>
      <c r="M105" s="1">
        <v>30</v>
      </c>
      <c r="N105" s="1">
        <v>4</v>
      </c>
      <c r="O105" s="1">
        <v>4</v>
      </c>
      <c r="Q105" s="10">
        <v>0</v>
      </c>
      <c r="R105" s="1" t="s">
        <v>487</v>
      </c>
      <c r="S105" s="1">
        <v>0</v>
      </c>
    </row>
    <row r="106" spans="4:19" x14ac:dyDescent="0.25">
      <c r="D106" s="1">
        <v>1</v>
      </c>
      <c r="E106" s="1" t="s">
        <v>459</v>
      </c>
      <c r="G106" s="1" t="s">
        <v>461</v>
      </c>
      <c r="H106" s="1" t="s">
        <v>466</v>
      </c>
      <c r="I106" s="1" t="s">
        <v>474</v>
      </c>
      <c r="J106" s="1" t="s">
        <v>481</v>
      </c>
      <c r="K106" s="1" t="s">
        <v>474</v>
      </c>
      <c r="L106" s="1">
        <v>75</v>
      </c>
      <c r="M106" s="1">
        <v>30</v>
      </c>
      <c r="N106" s="1">
        <v>4</v>
      </c>
      <c r="O106" s="1">
        <v>4</v>
      </c>
      <c r="Q106" s="10">
        <v>0</v>
      </c>
      <c r="R106" s="1" t="s">
        <v>487</v>
      </c>
      <c r="S106" s="1">
        <v>0</v>
      </c>
    </row>
    <row r="107" spans="4:19" x14ac:dyDescent="0.25">
      <c r="D107" s="1">
        <v>1</v>
      </c>
      <c r="E107" s="1" t="s">
        <v>459</v>
      </c>
      <c r="G107" s="1" t="s">
        <v>461</v>
      </c>
      <c r="H107" s="1" t="s">
        <v>466</v>
      </c>
      <c r="I107" s="1" t="s">
        <v>474</v>
      </c>
      <c r="J107" s="1" t="s">
        <v>481</v>
      </c>
      <c r="K107" s="1" t="s">
        <v>474</v>
      </c>
      <c r="L107" s="1">
        <v>75</v>
      </c>
      <c r="M107" s="1">
        <v>30</v>
      </c>
      <c r="N107" s="1">
        <v>4</v>
      </c>
      <c r="O107" s="1">
        <v>4</v>
      </c>
      <c r="Q107" s="10">
        <v>0</v>
      </c>
      <c r="R107" s="1" t="s">
        <v>487</v>
      </c>
      <c r="S107" s="1">
        <v>0</v>
      </c>
    </row>
    <row r="108" spans="4:19" x14ac:dyDescent="0.25">
      <c r="D108" s="1">
        <v>1</v>
      </c>
      <c r="E108" s="1" t="s">
        <v>459</v>
      </c>
      <c r="G108" s="1" t="s">
        <v>461</v>
      </c>
      <c r="H108" s="1" t="s">
        <v>466</v>
      </c>
      <c r="I108" s="1" t="s">
        <v>474</v>
      </c>
      <c r="J108" s="1" t="s">
        <v>481</v>
      </c>
      <c r="K108" s="1" t="s">
        <v>474</v>
      </c>
      <c r="L108" s="1">
        <v>75</v>
      </c>
      <c r="M108" s="1">
        <v>30</v>
      </c>
      <c r="N108" s="1">
        <v>4</v>
      </c>
      <c r="O108" s="1">
        <v>4</v>
      </c>
      <c r="Q108" s="10">
        <v>0</v>
      </c>
      <c r="R108" s="1" t="s">
        <v>487</v>
      </c>
      <c r="S108" s="1">
        <v>0</v>
      </c>
    </row>
    <row r="109" spans="4:19" x14ac:dyDescent="0.25">
      <c r="D109" s="1">
        <v>1</v>
      </c>
      <c r="E109" s="1" t="s">
        <v>459</v>
      </c>
      <c r="G109" s="1" t="s">
        <v>461</v>
      </c>
      <c r="H109" s="1" t="s">
        <v>466</v>
      </c>
      <c r="I109" s="1" t="s">
        <v>474</v>
      </c>
      <c r="J109" s="1" t="s">
        <v>481</v>
      </c>
      <c r="K109" s="1" t="s">
        <v>474</v>
      </c>
      <c r="L109" s="1">
        <v>75</v>
      </c>
      <c r="M109" s="1">
        <v>30</v>
      </c>
      <c r="N109" s="1">
        <v>4</v>
      </c>
      <c r="O109" s="1">
        <v>4</v>
      </c>
      <c r="Q109" s="10">
        <v>0</v>
      </c>
      <c r="R109" s="1" t="s">
        <v>487</v>
      </c>
      <c r="S109" s="1">
        <v>0</v>
      </c>
    </row>
    <row r="110" spans="4:19" x14ac:dyDescent="0.25">
      <c r="D110" s="1">
        <v>1</v>
      </c>
      <c r="E110" s="1" t="s">
        <v>459</v>
      </c>
      <c r="G110" s="1" t="s">
        <v>461</v>
      </c>
      <c r="H110" s="1" t="s">
        <v>466</v>
      </c>
      <c r="I110" s="1" t="s">
        <v>474</v>
      </c>
      <c r="J110" s="1" t="s">
        <v>481</v>
      </c>
      <c r="K110" s="1" t="s">
        <v>474</v>
      </c>
      <c r="L110" s="1">
        <v>75</v>
      </c>
      <c r="M110" s="1">
        <v>30</v>
      </c>
      <c r="N110" s="1">
        <v>4</v>
      </c>
      <c r="O110" s="1">
        <v>4</v>
      </c>
      <c r="Q110" s="10">
        <v>0</v>
      </c>
      <c r="R110" s="1" t="s">
        <v>487</v>
      </c>
      <c r="S110" s="1">
        <v>0</v>
      </c>
    </row>
    <row r="111" spans="4:19" x14ac:dyDescent="0.25">
      <c r="D111" s="1">
        <v>1</v>
      </c>
      <c r="E111" s="1" t="s">
        <v>459</v>
      </c>
      <c r="G111" s="1" t="s">
        <v>461</v>
      </c>
      <c r="H111" s="1" t="s">
        <v>466</v>
      </c>
      <c r="I111" s="1" t="s">
        <v>474</v>
      </c>
      <c r="J111" s="1" t="s">
        <v>481</v>
      </c>
      <c r="K111" s="1" t="s">
        <v>474</v>
      </c>
      <c r="L111" s="1">
        <v>75</v>
      </c>
      <c r="M111" s="1">
        <v>30</v>
      </c>
      <c r="N111" s="1">
        <v>4</v>
      </c>
      <c r="O111" s="1">
        <v>4</v>
      </c>
      <c r="Q111" s="10">
        <v>0</v>
      </c>
      <c r="R111" s="1" t="s">
        <v>487</v>
      </c>
      <c r="S111" s="1">
        <v>0</v>
      </c>
    </row>
    <row r="112" spans="4:19" x14ac:dyDescent="0.25">
      <c r="D112" s="1">
        <v>1</v>
      </c>
      <c r="E112" s="1" t="s">
        <v>459</v>
      </c>
      <c r="G112" s="1" t="s">
        <v>461</v>
      </c>
      <c r="H112" s="1" t="s">
        <v>466</v>
      </c>
      <c r="I112" s="1" t="s">
        <v>474</v>
      </c>
      <c r="J112" s="1" t="s">
        <v>481</v>
      </c>
      <c r="K112" s="1" t="s">
        <v>474</v>
      </c>
      <c r="L112" s="1">
        <v>75</v>
      </c>
      <c r="M112" s="1">
        <v>30</v>
      </c>
      <c r="N112" s="1">
        <v>4</v>
      </c>
      <c r="O112" s="1">
        <v>4</v>
      </c>
      <c r="Q112" s="10">
        <v>0</v>
      </c>
      <c r="R112" s="1" t="s">
        <v>487</v>
      </c>
      <c r="S112" s="1">
        <v>0</v>
      </c>
    </row>
    <row r="113" spans="4:19" x14ac:dyDescent="0.25">
      <c r="D113" s="1">
        <v>1</v>
      </c>
      <c r="E113" s="1" t="s">
        <v>459</v>
      </c>
      <c r="G113" s="1" t="s">
        <v>461</v>
      </c>
      <c r="H113" s="1" t="s">
        <v>466</v>
      </c>
      <c r="I113" s="1" t="s">
        <v>474</v>
      </c>
      <c r="J113" s="1" t="s">
        <v>481</v>
      </c>
      <c r="K113" s="1" t="s">
        <v>474</v>
      </c>
      <c r="L113" s="1">
        <v>75</v>
      </c>
      <c r="M113" s="1">
        <v>30</v>
      </c>
      <c r="N113" s="1">
        <v>4</v>
      </c>
      <c r="O113" s="1">
        <v>4</v>
      </c>
      <c r="Q113" s="10">
        <v>0</v>
      </c>
      <c r="R113" s="1" t="s">
        <v>487</v>
      </c>
      <c r="S113" s="1">
        <v>0</v>
      </c>
    </row>
    <row r="114" spans="4:19" x14ac:dyDescent="0.25">
      <c r="D114" s="1">
        <v>1</v>
      </c>
      <c r="E114" s="1" t="s">
        <v>459</v>
      </c>
      <c r="G114" s="1" t="s">
        <v>461</v>
      </c>
      <c r="H114" s="1" t="s">
        <v>466</v>
      </c>
      <c r="I114" s="1" t="s">
        <v>474</v>
      </c>
      <c r="J114" s="1" t="s">
        <v>481</v>
      </c>
      <c r="K114" s="1" t="s">
        <v>474</v>
      </c>
      <c r="L114" s="1">
        <v>75</v>
      </c>
      <c r="M114" s="1">
        <v>30</v>
      </c>
      <c r="N114" s="1">
        <v>4</v>
      </c>
      <c r="O114" s="1">
        <v>4</v>
      </c>
      <c r="Q114" s="10">
        <v>0</v>
      </c>
      <c r="R114" s="1" t="s">
        <v>487</v>
      </c>
      <c r="S114" s="1">
        <v>0</v>
      </c>
    </row>
    <row r="115" spans="4:19" x14ac:dyDescent="0.25">
      <c r="D115" s="1">
        <v>1</v>
      </c>
      <c r="E115" s="1" t="s">
        <v>459</v>
      </c>
      <c r="G115" s="1" t="s">
        <v>461</v>
      </c>
      <c r="H115" s="1" t="s">
        <v>466</v>
      </c>
      <c r="I115" s="1" t="s">
        <v>474</v>
      </c>
      <c r="J115" s="1" t="s">
        <v>481</v>
      </c>
      <c r="K115" s="1" t="s">
        <v>474</v>
      </c>
      <c r="L115" s="1">
        <v>75</v>
      </c>
      <c r="M115" s="1">
        <v>30</v>
      </c>
      <c r="N115" s="1">
        <v>4</v>
      </c>
      <c r="O115" s="1">
        <v>4</v>
      </c>
      <c r="Q115" s="10">
        <v>0</v>
      </c>
      <c r="R115" s="1" t="s">
        <v>487</v>
      </c>
      <c r="S115" s="1">
        <v>0</v>
      </c>
    </row>
    <row r="116" spans="4:19" x14ac:dyDescent="0.25">
      <c r="D116" s="1">
        <v>1</v>
      </c>
      <c r="E116" s="1" t="s">
        <v>459</v>
      </c>
      <c r="G116" s="1" t="s">
        <v>461</v>
      </c>
      <c r="H116" s="1" t="s">
        <v>466</v>
      </c>
      <c r="I116" s="1" t="s">
        <v>474</v>
      </c>
      <c r="J116" s="1" t="s">
        <v>481</v>
      </c>
      <c r="K116" s="1" t="s">
        <v>474</v>
      </c>
      <c r="L116" s="1">
        <v>75</v>
      </c>
      <c r="M116" s="1">
        <v>30</v>
      </c>
      <c r="N116" s="1">
        <v>4</v>
      </c>
      <c r="O116" s="1">
        <v>4</v>
      </c>
      <c r="Q116" s="10">
        <v>0</v>
      </c>
      <c r="R116" s="1" t="s">
        <v>487</v>
      </c>
      <c r="S116" s="1">
        <v>0</v>
      </c>
    </row>
    <row r="117" spans="4:19" x14ac:dyDescent="0.25">
      <c r="D117" s="1">
        <v>1</v>
      </c>
      <c r="E117" s="1" t="s">
        <v>459</v>
      </c>
      <c r="G117" s="1" t="s">
        <v>461</v>
      </c>
      <c r="H117" s="1" t="s">
        <v>466</v>
      </c>
      <c r="I117" s="1" t="s">
        <v>474</v>
      </c>
      <c r="J117" s="1" t="s">
        <v>481</v>
      </c>
      <c r="K117" s="1" t="s">
        <v>474</v>
      </c>
      <c r="L117" s="1">
        <v>75</v>
      </c>
      <c r="M117" s="1">
        <v>30</v>
      </c>
      <c r="N117" s="1">
        <v>4</v>
      </c>
      <c r="O117" s="1">
        <v>4</v>
      </c>
      <c r="Q117" s="10">
        <v>0</v>
      </c>
      <c r="R117" s="1" t="s">
        <v>487</v>
      </c>
      <c r="S117" s="1">
        <v>0</v>
      </c>
    </row>
    <row r="118" spans="4:19" x14ac:dyDescent="0.25">
      <c r="D118" s="1">
        <v>1</v>
      </c>
      <c r="E118" s="1" t="s">
        <v>459</v>
      </c>
      <c r="G118" s="1" t="s">
        <v>461</v>
      </c>
      <c r="H118" s="1" t="s">
        <v>466</v>
      </c>
      <c r="I118" s="1" t="s">
        <v>474</v>
      </c>
      <c r="J118" s="1" t="s">
        <v>481</v>
      </c>
      <c r="K118" s="1" t="s">
        <v>474</v>
      </c>
      <c r="L118" s="1">
        <v>75</v>
      </c>
      <c r="M118" s="1">
        <v>30</v>
      </c>
      <c r="N118" s="1">
        <v>4</v>
      </c>
      <c r="O118" s="1">
        <v>4</v>
      </c>
      <c r="Q118" s="10">
        <v>0</v>
      </c>
      <c r="R118" s="1" t="s">
        <v>487</v>
      </c>
      <c r="S118" s="1">
        <v>0</v>
      </c>
    </row>
    <row r="119" spans="4:19" x14ac:dyDescent="0.25">
      <c r="D119" s="1">
        <v>1</v>
      </c>
      <c r="E119" s="1" t="s">
        <v>459</v>
      </c>
      <c r="G119" s="1" t="s">
        <v>461</v>
      </c>
      <c r="H119" s="1" t="s">
        <v>466</v>
      </c>
      <c r="I119" s="1" t="s">
        <v>474</v>
      </c>
      <c r="J119" s="1" t="s">
        <v>481</v>
      </c>
      <c r="K119" s="1" t="s">
        <v>474</v>
      </c>
      <c r="L119" s="1">
        <v>75</v>
      </c>
      <c r="M119" s="1">
        <v>30</v>
      </c>
      <c r="N119" s="1">
        <v>4</v>
      </c>
      <c r="O119" s="1">
        <v>4</v>
      </c>
      <c r="Q119" s="10">
        <v>0</v>
      </c>
      <c r="R119" s="1" t="s">
        <v>487</v>
      </c>
      <c r="S119" s="1">
        <v>0</v>
      </c>
    </row>
    <row r="120" spans="4:19" x14ac:dyDescent="0.25">
      <c r="D120" s="1">
        <v>1</v>
      </c>
      <c r="E120" s="1" t="s">
        <v>459</v>
      </c>
      <c r="G120" s="1" t="s">
        <v>461</v>
      </c>
      <c r="H120" s="1" t="s">
        <v>466</v>
      </c>
      <c r="I120" s="1" t="s">
        <v>474</v>
      </c>
      <c r="J120" s="1" t="s">
        <v>481</v>
      </c>
      <c r="K120" s="1" t="s">
        <v>474</v>
      </c>
      <c r="L120" s="1">
        <v>75</v>
      </c>
      <c r="M120" s="1">
        <v>30</v>
      </c>
      <c r="N120" s="1">
        <v>4</v>
      </c>
      <c r="O120" s="1">
        <v>4</v>
      </c>
      <c r="Q120" s="10">
        <v>0</v>
      </c>
      <c r="R120" s="1" t="s">
        <v>487</v>
      </c>
      <c r="S120" s="1">
        <v>0</v>
      </c>
    </row>
    <row r="121" spans="4:19" x14ac:dyDescent="0.25">
      <c r="D121" s="1">
        <v>1</v>
      </c>
      <c r="E121" s="1" t="s">
        <v>459</v>
      </c>
      <c r="G121" s="1" t="s">
        <v>461</v>
      </c>
      <c r="H121" s="1" t="s">
        <v>466</v>
      </c>
      <c r="I121" s="1" t="s">
        <v>474</v>
      </c>
      <c r="J121" s="1" t="s">
        <v>481</v>
      </c>
      <c r="K121" s="1" t="s">
        <v>474</v>
      </c>
      <c r="L121" s="1">
        <v>75</v>
      </c>
      <c r="M121" s="1">
        <v>30</v>
      </c>
      <c r="N121" s="1">
        <v>4</v>
      </c>
      <c r="O121" s="1">
        <v>4</v>
      </c>
      <c r="Q121" s="10">
        <v>0</v>
      </c>
      <c r="R121" s="1" t="s">
        <v>487</v>
      </c>
      <c r="S121" s="1">
        <v>0</v>
      </c>
    </row>
    <row r="122" spans="4:19" x14ac:dyDescent="0.25">
      <c r="D122" s="1">
        <v>1</v>
      </c>
      <c r="E122" s="1" t="s">
        <v>459</v>
      </c>
      <c r="G122" s="1" t="s">
        <v>461</v>
      </c>
      <c r="H122" s="1" t="s">
        <v>466</v>
      </c>
      <c r="I122" s="1" t="s">
        <v>474</v>
      </c>
      <c r="J122" s="1" t="s">
        <v>481</v>
      </c>
      <c r="K122" s="1" t="s">
        <v>474</v>
      </c>
      <c r="L122" s="1">
        <v>75</v>
      </c>
      <c r="M122" s="1">
        <v>30</v>
      </c>
      <c r="N122" s="1">
        <v>4</v>
      </c>
      <c r="O122" s="1">
        <v>4</v>
      </c>
      <c r="Q122" s="10">
        <v>0</v>
      </c>
      <c r="R122" s="1" t="s">
        <v>487</v>
      </c>
      <c r="S122" s="1">
        <v>0</v>
      </c>
    </row>
    <row r="123" spans="4:19" x14ac:dyDescent="0.25">
      <c r="D123" s="1">
        <v>1</v>
      </c>
      <c r="E123" s="1" t="s">
        <v>459</v>
      </c>
      <c r="G123" s="1" t="s">
        <v>461</v>
      </c>
      <c r="H123" s="1" t="s">
        <v>466</v>
      </c>
      <c r="I123" s="1" t="s">
        <v>474</v>
      </c>
      <c r="J123" s="1" t="s">
        <v>481</v>
      </c>
      <c r="K123" s="1" t="s">
        <v>474</v>
      </c>
      <c r="L123" s="1">
        <v>75</v>
      </c>
      <c r="M123" s="1">
        <v>30</v>
      </c>
      <c r="N123" s="1">
        <v>4</v>
      </c>
      <c r="O123" s="1">
        <v>4</v>
      </c>
      <c r="Q123" s="10">
        <v>0</v>
      </c>
      <c r="R123" s="1" t="s">
        <v>487</v>
      </c>
      <c r="S123" s="1">
        <v>0</v>
      </c>
    </row>
    <row r="124" spans="4:19" x14ac:dyDescent="0.25">
      <c r="D124" s="1">
        <v>1</v>
      </c>
      <c r="E124" s="1" t="s">
        <v>459</v>
      </c>
      <c r="G124" s="1" t="s">
        <v>461</v>
      </c>
      <c r="H124" s="1" t="s">
        <v>466</v>
      </c>
      <c r="I124" s="1" t="s">
        <v>474</v>
      </c>
      <c r="J124" s="1" t="s">
        <v>481</v>
      </c>
      <c r="K124" s="1" t="s">
        <v>474</v>
      </c>
      <c r="L124" s="1">
        <v>75</v>
      </c>
      <c r="M124" s="1">
        <v>30</v>
      </c>
      <c r="N124" s="1">
        <v>4</v>
      </c>
      <c r="O124" s="1">
        <v>4</v>
      </c>
      <c r="Q124" s="10">
        <v>0</v>
      </c>
      <c r="R124" s="1" t="s">
        <v>487</v>
      </c>
      <c r="S124" s="1">
        <v>0</v>
      </c>
    </row>
    <row r="125" spans="4:19" x14ac:dyDescent="0.25">
      <c r="D125" s="1">
        <v>1</v>
      </c>
      <c r="E125" s="1" t="s">
        <v>459</v>
      </c>
      <c r="G125" s="1" t="s">
        <v>461</v>
      </c>
      <c r="H125" s="1" t="s">
        <v>466</v>
      </c>
      <c r="I125" s="1" t="s">
        <v>474</v>
      </c>
      <c r="J125" s="1" t="s">
        <v>481</v>
      </c>
      <c r="K125" s="1" t="s">
        <v>474</v>
      </c>
      <c r="L125" s="1">
        <v>75</v>
      </c>
      <c r="M125" s="1">
        <v>30</v>
      </c>
      <c r="N125" s="1">
        <v>4</v>
      </c>
      <c r="O125" s="1">
        <v>4</v>
      </c>
      <c r="Q125" s="10">
        <v>0</v>
      </c>
      <c r="R125" s="1" t="s">
        <v>487</v>
      </c>
      <c r="S125" s="1">
        <v>0</v>
      </c>
    </row>
    <row r="126" spans="4:19" x14ac:dyDescent="0.25">
      <c r="D126" s="1">
        <v>1</v>
      </c>
      <c r="E126" s="1" t="s">
        <v>459</v>
      </c>
      <c r="G126" s="1" t="s">
        <v>461</v>
      </c>
      <c r="H126" s="1" t="s">
        <v>466</v>
      </c>
      <c r="I126" s="1" t="s">
        <v>474</v>
      </c>
      <c r="J126" s="1" t="s">
        <v>481</v>
      </c>
      <c r="K126" s="1" t="s">
        <v>474</v>
      </c>
      <c r="L126" s="1">
        <v>75</v>
      </c>
      <c r="M126" s="1">
        <v>30</v>
      </c>
      <c r="N126" s="1">
        <v>4</v>
      </c>
      <c r="O126" s="1">
        <v>4</v>
      </c>
      <c r="Q126" s="10">
        <v>0</v>
      </c>
      <c r="R126" s="1" t="s">
        <v>487</v>
      </c>
      <c r="S126" s="1">
        <v>0</v>
      </c>
    </row>
    <row r="127" spans="4:19" x14ac:dyDescent="0.25">
      <c r="D127" s="1">
        <v>1</v>
      </c>
      <c r="E127" s="1" t="s">
        <v>459</v>
      </c>
      <c r="G127" s="1" t="s">
        <v>461</v>
      </c>
      <c r="H127" s="1" t="s">
        <v>466</v>
      </c>
      <c r="I127" s="1" t="s">
        <v>474</v>
      </c>
      <c r="J127" s="1" t="s">
        <v>481</v>
      </c>
      <c r="K127" s="1" t="s">
        <v>474</v>
      </c>
      <c r="L127" s="1">
        <v>75</v>
      </c>
      <c r="M127" s="1">
        <v>30</v>
      </c>
      <c r="N127" s="1">
        <v>4</v>
      </c>
      <c r="O127" s="1">
        <v>4</v>
      </c>
      <c r="Q127" s="10">
        <v>0</v>
      </c>
      <c r="R127" s="1" t="s">
        <v>487</v>
      </c>
      <c r="S127" s="1">
        <v>0</v>
      </c>
    </row>
    <row r="128" spans="4:19" x14ac:dyDescent="0.25">
      <c r="D128" s="1">
        <v>1</v>
      </c>
      <c r="E128" s="1" t="s">
        <v>459</v>
      </c>
      <c r="G128" s="1" t="s">
        <v>461</v>
      </c>
      <c r="H128" s="1" t="s">
        <v>466</v>
      </c>
      <c r="I128" s="1" t="s">
        <v>474</v>
      </c>
      <c r="J128" s="1" t="s">
        <v>481</v>
      </c>
      <c r="K128" s="1" t="s">
        <v>474</v>
      </c>
      <c r="L128" s="1">
        <v>75</v>
      </c>
      <c r="M128" s="1">
        <v>30</v>
      </c>
      <c r="N128" s="1">
        <v>4</v>
      </c>
      <c r="O128" s="1">
        <v>4</v>
      </c>
      <c r="Q128" s="10">
        <v>0</v>
      </c>
      <c r="R128" s="1" t="s">
        <v>487</v>
      </c>
      <c r="S128" s="1">
        <v>0</v>
      </c>
    </row>
    <row r="129" spans="4:19" x14ac:dyDescent="0.25">
      <c r="D129" s="1">
        <v>1</v>
      </c>
      <c r="E129" s="1" t="s">
        <v>459</v>
      </c>
      <c r="G129" s="1" t="s">
        <v>461</v>
      </c>
      <c r="H129" s="1" t="s">
        <v>466</v>
      </c>
      <c r="I129" s="1" t="s">
        <v>474</v>
      </c>
      <c r="J129" s="1" t="s">
        <v>481</v>
      </c>
      <c r="K129" s="1" t="s">
        <v>474</v>
      </c>
      <c r="L129" s="1">
        <v>75</v>
      </c>
      <c r="M129" s="1">
        <v>30</v>
      </c>
      <c r="N129" s="1">
        <v>4</v>
      </c>
      <c r="O129" s="1">
        <v>4</v>
      </c>
      <c r="Q129" s="10">
        <v>0</v>
      </c>
      <c r="R129" s="1" t="s">
        <v>487</v>
      </c>
      <c r="S129" s="1">
        <v>0</v>
      </c>
    </row>
    <row r="130" spans="4:19" x14ac:dyDescent="0.25">
      <c r="D130" s="1">
        <v>1</v>
      </c>
      <c r="E130" s="1" t="s">
        <v>459</v>
      </c>
      <c r="G130" s="1" t="s">
        <v>461</v>
      </c>
      <c r="H130" s="1" t="s">
        <v>466</v>
      </c>
      <c r="I130" s="1" t="s">
        <v>474</v>
      </c>
      <c r="J130" s="1" t="s">
        <v>481</v>
      </c>
      <c r="K130" s="1" t="s">
        <v>474</v>
      </c>
      <c r="L130" s="1">
        <v>75</v>
      </c>
      <c r="M130" s="1">
        <v>30</v>
      </c>
      <c r="N130" s="1">
        <v>4</v>
      </c>
      <c r="O130" s="1">
        <v>4</v>
      </c>
      <c r="Q130" s="10">
        <v>0</v>
      </c>
      <c r="R130" s="1" t="s">
        <v>487</v>
      </c>
      <c r="S130" s="1">
        <v>0</v>
      </c>
    </row>
    <row r="131" spans="4:19" x14ac:dyDescent="0.25">
      <c r="D131" s="1">
        <v>1</v>
      </c>
      <c r="E131" s="1" t="s">
        <v>459</v>
      </c>
      <c r="G131" s="1" t="s">
        <v>461</v>
      </c>
      <c r="H131" s="1" t="s">
        <v>466</v>
      </c>
      <c r="I131" s="1" t="s">
        <v>474</v>
      </c>
      <c r="J131" s="1" t="s">
        <v>481</v>
      </c>
      <c r="K131" s="1" t="s">
        <v>474</v>
      </c>
      <c r="L131" s="1">
        <v>75</v>
      </c>
      <c r="M131" s="1">
        <v>30</v>
      </c>
      <c r="N131" s="1">
        <v>4</v>
      </c>
      <c r="O131" s="1">
        <v>4</v>
      </c>
      <c r="Q131" s="10">
        <v>0</v>
      </c>
      <c r="R131" s="1" t="s">
        <v>487</v>
      </c>
      <c r="S131" s="1">
        <v>0</v>
      </c>
    </row>
    <row r="132" spans="4:19" x14ac:dyDescent="0.25">
      <c r="D132" s="1">
        <v>1</v>
      </c>
      <c r="E132" s="1" t="s">
        <v>459</v>
      </c>
      <c r="G132" s="1" t="s">
        <v>461</v>
      </c>
      <c r="H132" s="1" t="s">
        <v>466</v>
      </c>
      <c r="I132" s="1" t="s">
        <v>474</v>
      </c>
      <c r="J132" s="1" t="s">
        <v>481</v>
      </c>
      <c r="K132" s="1" t="s">
        <v>474</v>
      </c>
      <c r="L132" s="1">
        <v>75</v>
      </c>
      <c r="M132" s="1">
        <v>30</v>
      </c>
      <c r="N132" s="1">
        <v>4</v>
      </c>
      <c r="O132" s="1">
        <v>4</v>
      </c>
      <c r="Q132" s="10">
        <v>0</v>
      </c>
      <c r="R132" s="1" t="s">
        <v>487</v>
      </c>
      <c r="S132" s="1">
        <v>0</v>
      </c>
    </row>
    <row r="133" spans="4:19" x14ac:dyDescent="0.25">
      <c r="D133" s="1">
        <v>1</v>
      </c>
      <c r="E133" s="1" t="s">
        <v>459</v>
      </c>
      <c r="G133" s="1" t="s">
        <v>461</v>
      </c>
      <c r="H133" s="1" t="s">
        <v>466</v>
      </c>
      <c r="I133" s="1" t="s">
        <v>474</v>
      </c>
      <c r="J133" s="1" t="s">
        <v>481</v>
      </c>
      <c r="K133" s="1" t="s">
        <v>474</v>
      </c>
      <c r="L133" s="1">
        <v>75</v>
      </c>
      <c r="M133" s="1">
        <v>30</v>
      </c>
      <c r="N133" s="1">
        <v>4</v>
      </c>
      <c r="O133" s="1">
        <v>4</v>
      </c>
      <c r="Q133" s="10">
        <v>0</v>
      </c>
      <c r="R133" s="1" t="s">
        <v>487</v>
      </c>
      <c r="S133" s="1">
        <v>0</v>
      </c>
    </row>
    <row r="134" spans="4:19" x14ac:dyDescent="0.25">
      <c r="D134" s="1">
        <v>1</v>
      </c>
      <c r="E134" s="1" t="s">
        <v>459</v>
      </c>
      <c r="G134" s="1" t="s">
        <v>461</v>
      </c>
      <c r="H134" s="1" t="s">
        <v>466</v>
      </c>
      <c r="I134" s="1" t="s">
        <v>474</v>
      </c>
      <c r="J134" s="1" t="s">
        <v>481</v>
      </c>
      <c r="K134" s="1" t="s">
        <v>474</v>
      </c>
      <c r="L134" s="1">
        <v>75</v>
      </c>
      <c r="M134" s="1">
        <v>30</v>
      </c>
      <c r="N134" s="1">
        <v>4</v>
      </c>
      <c r="O134" s="1">
        <v>4</v>
      </c>
      <c r="Q134" s="10">
        <v>0</v>
      </c>
      <c r="R134" s="1" t="s">
        <v>487</v>
      </c>
      <c r="S134" s="1">
        <v>0</v>
      </c>
    </row>
    <row r="135" spans="4:19" x14ac:dyDescent="0.25">
      <c r="D135" s="1">
        <v>1</v>
      </c>
      <c r="E135" s="1" t="s">
        <v>459</v>
      </c>
      <c r="G135" s="1" t="s">
        <v>461</v>
      </c>
      <c r="H135" s="1" t="s">
        <v>466</v>
      </c>
      <c r="I135" s="1" t="s">
        <v>474</v>
      </c>
      <c r="J135" s="1" t="s">
        <v>481</v>
      </c>
      <c r="K135" s="1" t="s">
        <v>474</v>
      </c>
      <c r="L135" s="1">
        <v>75</v>
      </c>
      <c r="M135" s="1">
        <v>30</v>
      </c>
      <c r="N135" s="1">
        <v>4</v>
      </c>
      <c r="O135" s="1">
        <v>4</v>
      </c>
      <c r="Q135" s="10">
        <v>0</v>
      </c>
      <c r="R135" s="1" t="s">
        <v>487</v>
      </c>
      <c r="S135" s="1">
        <v>0</v>
      </c>
    </row>
    <row r="136" spans="4:19" x14ac:dyDescent="0.25">
      <c r="D136" s="1">
        <v>1</v>
      </c>
      <c r="E136" s="1" t="s">
        <v>459</v>
      </c>
      <c r="G136" s="1" t="s">
        <v>461</v>
      </c>
      <c r="H136" s="1" t="s">
        <v>466</v>
      </c>
      <c r="I136" s="1" t="s">
        <v>474</v>
      </c>
      <c r="J136" s="1" t="s">
        <v>481</v>
      </c>
      <c r="K136" s="1" t="s">
        <v>474</v>
      </c>
      <c r="L136" s="1">
        <v>75</v>
      </c>
      <c r="M136" s="1">
        <v>30</v>
      </c>
      <c r="N136" s="1">
        <v>4</v>
      </c>
      <c r="O136" s="1">
        <v>4</v>
      </c>
      <c r="Q136" s="10">
        <v>0</v>
      </c>
      <c r="R136" s="1" t="s">
        <v>487</v>
      </c>
      <c r="S136" s="1">
        <v>0</v>
      </c>
    </row>
    <row r="137" spans="4:19" x14ac:dyDescent="0.25">
      <c r="D137" s="1">
        <v>1</v>
      </c>
      <c r="E137" s="1" t="s">
        <v>459</v>
      </c>
      <c r="G137" s="1" t="s">
        <v>461</v>
      </c>
      <c r="H137" s="1" t="s">
        <v>466</v>
      </c>
      <c r="I137" s="1" t="s">
        <v>474</v>
      </c>
      <c r="J137" s="1" t="s">
        <v>481</v>
      </c>
      <c r="K137" s="1" t="s">
        <v>474</v>
      </c>
      <c r="L137" s="1">
        <v>75</v>
      </c>
      <c r="M137" s="1">
        <v>30</v>
      </c>
      <c r="N137" s="1">
        <v>4</v>
      </c>
      <c r="O137" s="1">
        <v>4</v>
      </c>
      <c r="Q137" s="10">
        <v>0</v>
      </c>
      <c r="R137" s="1" t="s">
        <v>487</v>
      </c>
      <c r="S137" s="1">
        <v>0</v>
      </c>
    </row>
    <row r="138" spans="4:19" x14ac:dyDescent="0.25">
      <c r="D138" s="1">
        <v>1</v>
      </c>
      <c r="E138" s="1" t="s">
        <v>459</v>
      </c>
      <c r="G138" s="1" t="s">
        <v>461</v>
      </c>
      <c r="H138" s="1" t="s">
        <v>466</v>
      </c>
      <c r="I138" s="1" t="s">
        <v>474</v>
      </c>
      <c r="J138" s="1" t="s">
        <v>481</v>
      </c>
      <c r="K138" s="1" t="s">
        <v>474</v>
      </c>
      <c r="L138" s="1">
        <v>75</v>
      </c>
      <c r="M138" s="1">
        <v>30</v>
      </c>
      <c r="N138" s="1">
        <v>4</v>
      </c>
      <c r="O138" s="1">
        <v>4</v>
      </c>
      <c r="Q138" s="10">
        <v>0</v>
      </c>
      <c r="R138" s="1" t="s">
        <v>487</v>
      </c>
      <c r="S138" s="1">
        <v>0</v>
      </c>
    </row>
    <row r="139" spans="4:19" x14ac:dyDescent="0.25">
      <c r="D139" s="1">
        <v>1</v>
      </c>
      <c r="E139" s="1" t="s">
        <v>459</v>
      </c>
      <c r="G139" s="1" t="s">
        <v>461</v>
      </c>
      <c r="H139" s="1" t="s">
        <v>466</v>
      </c>
      <c r="I139" s="1" t="s">
        <v>474</v>
      </c>
      <c r="J139" s="1" t="s">
        <v>481</v>
      </c>
      <c r="K139" s="1" t="s">
        <v>474</v>
      </c>
      <c r="L139" s="1">
        <v>75</v>
      </c>
      <c r="M139" s="1">
        <v>30</v>
      </c>
      <c r="N139" s="1">
        <v>4</v>
      </c>
      <c r="O139" s="1">
        <v>4</v>
      </c>
      <c r="Q139" s="10">
        <v>0</v>
      </c>
      <c r="R139" s="1" t="s">
        <v>487</v>
      </c>
      <c r="S139" s="1">
        <v>0</v>
      </c>
    </row>
    <row r="140" spans="4:19" x14ac:dyDescent="0.25">
      <c r="D140" s="1">
        <v>1</v>
      </c>
      <c r="E140" s="1" t="s">
        <v>459</v>
      </c>
      <c r="G140" s="1" t="s">
        <v>461</v>
      </c>
      <c r="H140" s="1" t="s">
        <v>466</v>
      </c>
      <c r="I140" s="1" t="s">
        <v>474</v>
      </c>
      <c r="J140" s="1" t="s">
        <v>481</v>
      </c>
      <c r="K140" s="1" t="s">
        <v>474</v>
      </c>
      <c r="L140" s="1">
        <v>75</v>
      </c>
      <c r="M140" s="1">
        <v>30</v>
      </c>
      <c r="N140" s="1">
        <v>4</v>
      </c>
      <c r="O140" s="1">
        <v>4</v>
      </c>
      <c r="Q140" s="10">
        <v>0</v>
      </c>
      <c r="R140" s="1" t="s">
        <v>487</v>
      </c>
      <c r="S140" s="1">
        <v>0</v>
      </c>
    </row>
    <row r="141" spans="4:19" x14ac:dyDescent="0.25">
      <c r="D141" s="1">
        <v>1</v>
      </c>
      <c r="E141" s="1" t="s">
        <v>459</v>
      </c>
      <c r="G141" s="1" t="s">
        <v>461</v>
      </c>
      <c r="H141" s="1" t="s">
        <v>466</v>
      </c>
      <c r="I141" s="1" t="s">
        <v>474</v>
      </c>
      <c r="J141" s="1" t="s">
        <v>481</v>
      </c>
      <c r="K141" s="1" t="s">
        <v>474</v>
      </c>
      <c r="L141" s="1">
        <v>75</v>
      </c>
      <c r="M141" s="1">
        <v>30</v>
      </c>
      <c r="N141" s="1">
        <v>4</v>
      </c>
      <c r="O141" s="1">
        <v>4</v>
      </c>
      <c r="Q141" s="10">
        <v>0</v>
      </c>
      <c r="R141" s="1" t="s">
        <v>487</v>
      </c>
      <c r="S141" s="1">
        <v>0</v>
      </c>
    </row>
    <row r="142" spans="4:19" x14ac:dyDescent="0.25">
      <c r="D142" s="1">
        <v>1</v>
      </c>
      <c r="E142" s="1" t="s">
        <v>459</v>
      </c>
      <c r="G142" s="1" t="s">
        <v>461</v>
      </c>
      <c r="H142" s="1" t="s">
        <v>466</v>
      </c>
      <c r="I142" s="1" t="s">
        <v>474</v>
      </c>
      <c r="J142" s="1" t="s">
        <v>481</v>
      </c>
      <c r="K142" s="1" t="s">
        <v>474</v>
      </c>
      <c r="L142" s="1">
        <v>75</v>
      </c>
      <c r="M142" s="1">
        <v>30</v>
      </c>
      <c r="N142" s="1">
        <v>4</v>
      </c>
      <c r="O142" s="1">
        <v>4</v>
      </c>
      <c r="Q142" s="10">
        <v>0</v>
      </c>
      <c r="R142" s="1" t="s">
        <v>487</v>
      </c>
      <c r="S142" s="1">
        <v>0</v>
      </c>
    </row>
    <row r="143" spans="4:19" x14ac:dyDescent="0.25">
      <c r="D143" s="1">
        <v>1</v>
      </c>
      <c r="E143" s="1" t="s">
        <v>459</v>
      </c>
      <c r="G143" s="1" t="s">
        <v>461</v>
      </c>
      <c r="H143" s="1" t="s">
        <v>466</v>
      </c>
      <c r="I143" s="1" t="s">
        <v>474</v>
      </c>
      <c r="J143" s="1" t="s">
        <v>481</v>
      </c>
      <c r="K143" s="1" t="s">
        <v>474</v>
      </c>
      <c r="L143" s="1">
        <v>75</v>
      </c>
      <c r="M143" s="1">
        <v>30</v>
      </c>
      <c r="N143" s="1">
        <v>4</v>
      </c>
      <c r="O143" s="1">
        <v>4</v>
      </c>
      <c r="Q143" s="10">
        <v>0</v>
      </c>
      <c r="R143" s="1" t="s">
        <v>487</v>
      </c>
      <c r="S143" s="1">
        <v>0</v>
      </c>
    </row>
    <row r="144" spans="4:19" x14ac:dyDescent="0.25">
      <c r="D144" s="1">
        <v>1</v>
      </c>
      <c r="E144" s="1" t="s">
        <v>459</v>
      </c>
      <c r="G144" s="1" t="s">
        <v>461</v>
      </c>
      <c r="H144" s="1" t="s">
        <v>466</v>
      </c>
      <c r="I144" s="1" t="s">
        <v>474</v>
      </c>
      <c r="J144" s="1" t="s">
        <v>481</v>
      </c>
      <c r="K144" s="1" t="s">
        <v>474</v>
      </c>
      <c r="L144" s="1">
        <v>75</v>
      </c>
      <c r="M144" s="1">
        <v>30</v>
      </c>
      <c r="N144" s="1">
        <v>4</v>
      </c>
      <c r="O144" s="1">
        <v>4</v>
      </c>
      <c r="Q144" s="10">
        <v>0</v>
      </c>
      <c r="R144" s="1" t="s">
        <v>487</v>
      </c>
      <c r="S144" s="1">
        <v>0</v>
      </c>
    </row>
    <row r="145" spans="4:19" x14ac:dyDescent="0.25">
      <c r="D145" s="1">
        <v>1</v>
      </c>
      <c r="E145" s="1" t="s">
        <v>459</v>
      </c>
      <c r="G145" s="1" t="s">
        <v>461</v>
      </c>
      <c r="H145" s="1" t="s">
        <v>466</v>
      </c>
      <c r="I145" s="1" t="s">
        <v>474</v>
      </c>
      <c r="J145" s="1" t="s">
        <v>481</v>
      </c>
      <c r="K145" s="1" t="s">
        <v>474</v>
      </c>
      <c r="L145" s="1">
        <v>75</v>
      </c>
      <c r="M145" s="1">
        <v>30</v>
      </c>
      <c r="N145" s="1">
        <v>4</v>
      </c>
      <c r="O145" s="1">
        <v>4</v>
      </c>
      <c r="Q145" s="10">
        <v>0</v>
      </c>
      <c r="R145" s="1" t="s">
        <v>487</v>
      </c>
      <c r="S145" s="1">
        <v>0</v>
      </c>
    </row>
    <row r="146" spans="4:19" x14ac:dyDescent="0.25">
      <c r="D146" s="1">
        <v>1</v>
      </c>
      <c r="E146" s="1" t="s">
        <v>459</v>
      </c>
      <c r="G146" s="1" t="s">
        <v>461</v>
      </c>
      <c r="H146" s="1" t="s">
        <v>466</v>
      </c>
      <c r="I146" s="1" t="s">
        <v>474</v>
      </c>
      <c r="J146" s="1" t="s">
        <v>481</v>
      </c>
      <c r="K146" s="1" t="s">
        <v>474</v>
      </c>
      <c r="L146" s="1">
        <v>75</v>
      </c>
      <c r="M146" s="1">
        <v>30</v>
      </c>
      <c r="N146" s="1">
        <v>4</v>
      </c>
      <c r="O146" s="1">
        <v>4</v>
      </c>
      <c r="Q146" s="10">
        <v>0</v>
      </c>
      <c r="R146" s="1" t="s">
        <v>487</v>
      </c>
      <c r="S146" s="1">
        <v>0</v>
      </c>
    </row>
    <row r="147" spans="4:19" x14ac:dyDescent="0.25">
      <c r="D147" s="1">
        <v>1</v>
      </c>
      <c r="E147" s="1" t="s">
        <v>459</v>
      </c>
      <c r="G147" s="1" t="s">
        <v>461</v>
      </c>
      <c r="H147" s="1" t="s">
        <v>466</v>
      </c>
      <c r="I147" s="1" t="s">
        <v>474</v>
      </c>
      <c r="J147" s="1" t="s">
        <v>481</v>
      </c>
      <c r="K147" s="1" t="s">
        <v>474</v>
      </c>
      <c r="L147" s="1">
        <v>75</v>
      </c>
      <c r="M147" s="1">
        <v>30</v>
      </c>
      <c r="N147" s="1">
        <v>4</v>
      </c>
      <c r="O147" s="1">
        <v>4</v>
      </c>
      <c r="Q147" s="10">
        <v>0</v>
      </c>
      <c r="R147" s="1" t="s">
        <v>487</v>
      </c>
      <c r="S147" s="1">
        <v>0</v>
      </c>
    </row>
    <row r="148" spans="4:19" x14ac:dyDescent="0.25">
      <c r="D148" s="1">
        <v>1</v>
      </c>
      <c r="E148" s="1" t="s">
        <v>459</v>
      </c>
      <c r="G148" s="1" t="s">
        <v>461</v>
      </c>
      <c r="H148" s="1" t="s">
        <v>466</v>
      </c>
      <c r="I148" s="1" t="s">
        <v>474</v>
      </c>
      <c r="J148" s="1" t="s">
        <v>481</v>
      </c>
      <c r="K148" s="1" t="s">
        <v>474</v>
      </c>
      <c r="L148" s="1">
        <v>75</v>
      </c>
      <c r="M148" s="1">
        <v>30</v>
      </c>
      <c r="N148" s="1">
        <v>4</v>
      </c>
      <c r="O148" s="1">
        <v>4</v>
      </c>
      <c r="Q148" s="10">
        <v>0</v>
      </c>
      <c r="R148" s="1" t="s">
        <v>487</v>
      </c>
      <c r="S148" s="1">
        <v>0</v>
      </c>
    </row>
    <row r="149" spans="4:19" x14ac:dyDescent="0.25">
      <c r="D149" s="1">
        <v>1</v>
      </c>
      <c r="E149" s="1" t="s">
        <v>459</v>
      </c>
      <c r="G149" s="1" t="s">
        <v>461</v>
      </c>
      <c r="H149" s="1" t="s">
        <v>466</v>
      </c>
      <c r="I149" s="1" t="s">
        <v>474</v>
      </c>
      <c r="J149" s="1" t="s">
        <v>481</v>
      </c>
      <c r="K149" s="1" t="s">
        <v>474</v>
      </c>
      <c r="L149" s="1">
        <v>75</v>
      </c>
      <c r="M149" s="1">
        <v>30</v>
      </c>
      <c r="N149" s="1">
        <v>4</v>
      </c>
      <c r="O149" s="1">
        <v>4</v>
      </c>
      <c r="Q149" s="10">
        <v>0</v>
      </c>
      <c r="R149" s="1" t="s">
        <v>487</v>
      </c>
      <c r="S149" s="1">
        <v>0</v>
      </c>
    </row>
    <row r="150" spans="4:19" x14ac:dyDescent="0.25">
      <c r="D150" s="1">
        <v>1</v>
      </c>
      <c r="E150" s="1" t="s">
        <v>459</v>
      </c>
      <c r="G150" s="1" t="s">
        <v>461</v>
      </c>
      <c r="H150" s="1" t="s">
        <v>466</v>
      </c>
      <c r="I150" s="1" t="s">
        <v>474</v>
      </c>
      <c r="J150" s="1" t="s">
        <v>481</v>
      </c>
      <c r="K150" s="1" t="s">
        <v>474</v>
      </c>
      <c r="L150" s="1">
        <v>75</v>
      </c>
      <c r="M150" s="1">
        <v>30</v>
      </c>
      <c r="N150" s="1">
        <v>4</v>
      </c>
      <c r="O150" s="1">
        <v>4</v>
      </c>
      <c r="Q150" s="10">
        <v>0</v>
      </c>
      <c r="R150" s="1" t="s">
        <v>487</v>
      </c>
      <c r="S150" s="1">
        <v>0</v>
      </c>
    </row>
    <row r="151" spans="4:19" x14ac:dyDescent="0.25">
      <c r="D151" s="1">
        <v>1</v>
      </c>
      <c r="E151" s="1" t="s">
        <v>459</v>
      </c>
      <c r="G151" s="1" t="s">
        <v>461</v>
      </c>
      <c r="H151" s="1" t="s">
        <v>466</v>
      </c>
      <c r="I151" s="1" t="s">
        <v>474</v>
      </c>
      <c r="J151" s="1" t="s">
        <v>481</v>
      </c>
      <c r="K151" s="1" t="s">
        <v>474</v>
      </c>
      <c r="L151" s="1">
        <v>75</v>
      </c>
      <c r="M151" s="1">
        <v>30</v>
      </c>
      <c r="N151" s="1">
        <v>4</v>
      </c>
      <c r="O151" s="1">
        <v>4</v>
      </c>
      <c r="Q151" s="10">
        <v>0</v>
      </c>
      <c r="R151" s="1" t="s">
        <v>487</v>
      </c>
      <c r="S151" s="1">
        <v>0</v>
      </c>
    </row>
    <row r="152" spans="4:19" x14ac:dyDescent="0.25">
      <c r="D152" s="1">
        <v>1</v>
      </c>
      <c r="E152" s="1" t="s">
        <v>459</v>
      </c>
      <c r="G152" s="1" t="s">
        <v>461</v>
      </c>
      <c r="H152" s="1" t="s">
        <v>466</v>
      </c>
      <c r="I152" s="1" t="s">
        <v>474</v>
      </c>
      <c r="J152" s="1" t="s">
        <v>481</v>
      </c>
      <c r="K152" s="1" t="s">
        <v>474</v>
      </c>
      <c r="L152" s="1">
        <v>75</v>
      </c>
      <c r="M152" s="1">
        <v>30</v>
      </c>
      <c r="N152" s="1">
        <v>4</v>
      </c>
      <c r="O152" s="1">
        <v>4</v>
      </c>
      <c r="Q152" s="10">
        <v>0</v>
      </c>
      <c r="R152" s="1" t="s">
        <v>487</v>
      </c>
      <c r="S152" s="1">
        <v>0</v>
      </c>
    </row>
    <row r="153" spans="4:19" x14ac:dyDescent="0.25">
      <c r="D153" s="1">
        <v>1</v>
      </c>
      <c r="E153" s="1" t="s">
        <v>459</v>
      </c>
      <c r="G153" s="1" t="s">
        <v>461</v>
      </c>
      <c r="H153" s="1" t="s">
        <v>466</v>
      </c>
      <c r="I153" s="1" t="s">
        <v>474</v>
      </c>
      <c r="J153" s="1" t="s">
        <v>481</v>
      </c>
      <c r="K153" s="1" t="s">
        <v>474</v>
      </c>
      <c r="L153" s="1">
        <v>75</v>
      </c>
      <c r="M153" s="1">
        <v>30</v>
      </c>
      <c r="N153" s="1">
        <v>4</v>
      </c>
      <c r="O153" s="1">
        <v>4</v>
      </c>
      <c r="Q153" s="10">
        <v>0</v>
      </c>
      <c r="R153" s="1" t="s">
        <v>487</v>
      </c>
      <c r="S153" s="1">
        <v>0</v>
      </c>
    </row>
    <row r="154" spans="4:19" x14ac:dyDescent="0.25">
      <c r="D154" s="1">
        <v>1</v>
      </c>
      <c r="E154" s="1" t="s">
        <v>459</v>
      </c>
      <c r="G154" s="1" t="s">
        <v>461</v>
      </c>
      <c r="H154" s="1" t="s">
        <v>466</v>
      </c>
      <c r="I154" s="1" t="s">
        <v>474</v>
      </c>
      <c r="J154" s="1" t="s">
        <v>481</v>
      </c>
      <c r="K154" s="1" t="s">
        <v>474</v>
      </c>
      <c r="L154" s="1">
        <v>75</v>
      </c>
      <c r="M154" s="1">
        <v>30</v>
      </c>
      <c r="N154" s="1">
        <v>4</v>
      </c>
      <c r="O154" s="1">
        <v>4</v>
      </c>
      <c r="Q154" s="10">
        <v>0</v>
      </c>
      <c r="R154" s="1" t="s">
        <v>487</v>
      </c>
      <c r="S154" s="1">
        <v>0</v>
      </c>
    </row>
    <row r="155" spans="4:19" x14ac:dyDescent="0.25">
      <c r="D155" s="1">
        <v>1</v>
      </c>
      <c r="E155" s="1" t="s">
        <v>459</v>
      </c>
      <c r="G155" s="1" t="s">
        <v>461</v>
      </c>
      <c r="H155" s="1" t="s">
        <v>466</v>
      </c>
      <c r="I155" s="1" t="s">
        <v>474</v>
      </c>
      <c r="J155" s="1" t="s">
        <v>481</v>
      </c>
      <c r="K155" s="1" t="s">
        <v>474</v>
      </c>
      <c r="L155" s="1">
        <v>75</v>
      </c>
      <c r="M155" s="1">
        <v>30</v>
      </c>
      <c r="N155" s="1">
        <v>4</v>
      </c>
      <c r="O155" s="1">
        <v>4</v>
      </c>
      <c r="Q155" s="10">
        <v>0</v>
      </c>
      <c r="R155" s="1" t="s">
        <v>487</v>
      </c>
      <c r="S155" s="1">
        <v>0</v>
      </c>
    </row>
    <row r="156" spans="4:19" x14ac:dyDescent="0.25">
      <c r="D156" s="1">
        <v>1</v>
      </c>
      <c r="E156" s="1" t="s">
        <v>459</v>
      </c>
      <c r="G156" s="1" t="s">
        <v>461</v>
      </c>
      <c r="H156" s="1" t="s">
        <v>466</v>
      </c>
      <c r="I156" s="1" t="s">
        <v>474</v>
      </c>
      <c r="J156" s="1" t="s">
        <v>481</v>
      </c>
      <c r="K156" s="1" t="s">
        <v>474</v>
      </c>
      <c r="L156" s="1">
        <v>75</v>
      </c>
      <c r="M156" s="1">
        <v>30</v>
      </c>
      <c r="N156" s="1">
        <v>4</v>
      </c>
      <c r="O156" s="1">
        <v>4</v>
      </c>
      <c r="Q156" s="10">
        <v>0</v>
      </c>
      <c r="R156" s="1" t="s">
        <v>487</v>
      </c>
      <c r="S156" s="1">
        <v>0</v>
      </c>
    </row>
    <row r="157" spans="4:19" x14ac:dyDescent="0.25">
      <c r="D157" s="1">
        <v>1</v>
      </c>
      <c r="E157" s="1" t="s">
        <v>459</v>
      </c>
      <c r="G157" s="1" t="s">
        <v>461</v>
      </c>
      <c r="H157" s="1" t="s">
        <v>466</v>
      </c>
      <c r="I157" s="1" t="s">
        <v>474</v>
      </c>
      <c r="J157" s="1" t="s">
        <v>481</v>
      </c>
      <c r="K157" s="1" t="s">
        <v>474</v>
      </c>
      <c r="L157" s="1">
        <v>75</v>
      </c>
      <c r="M157" s="1">
        <v>30</v>
      </c>
      <c r="N157" s="1">
        <v>4</v>
      </c>
      <c r="O157" s="1">
        <v>4</v>
      </c>
      <c r="Q157" s="10">
        <v>0</v>
      </c>
      <c r="R157" s="1" t="s">
        <v>487</v>
      </c>
      <c r="S157" s="1">
        <v>0</v>
      </c>
    </row>
    <row r="158" spans="4:19" x14ac:dyDescent="0.25">
      <c r="D158" s="1">
        <v>1</v>
      </c>
      <c r="E158" s="1" t="s">
        <v>459</v>
      </c>
      <c r="G158" s="1" t="s">
        <v>461</v>
      </c>
      <c r="H158" s="1" t="s">
        <v>466</v>
      </c>
      <c r="I158" s="1" t="s">
        <v>474</v>
      </c>
      <c r="J158" s="1" t="s">
        <v>481</v>
      </c>
      <c r="K158" s="1" t="s">
        <v>474</v>
      </c>
      <c r="L158" s="1">
        <v>75</v>
      </c>
      <c r="M158" s="1">
        <v>30</v>
      </c>
      <c r="N158" s="1">
        <v>4</v>
      </c>
      <c r="O158" s="1">
        <v>4</v>
      </c>
      <c r="Q158" s="10">
        <v>0</v>
      </c>
      <c r="R158" s="1" t="s">
        <v>487</v>
      </c>
      <c r="S158" s="1">
        <v>0</v>
      </c>
    </row>
    <row r="159" spans="4:19" x14ac:dyDescent="0.25">
      <c r="D159" s="1">
        <v>1</v>
      </c>
      <c r="E159" s="1" t="s">
        <v>459</v>
      </c>
      <c r="G159" s="1" t="s">
        <v>461</v>
      </c>
      <c r="H159" s="1" t="s">
        <v>466</v>
      </c>
      <c r="I159" s="1" t="s">
        <v>474</v>
      </c>
      <c r="J159" s="1" t="s">
        <v>481</v>
      </c>
      <c r="K159" s="1" t="s">
        <v>474</v>
      </c>
      <c r="L159" s="1">
        <v>75</v>
      </c>
      <c r="M159" s="1">
        <v>30</v>
      </c>
      <c r="N159" s="1">
        <v>4</v>
      </c>
      <c r="O159" s="1">
        <v>4</v>
      </c>
      <c r="Q159" s="10">
        <v>0</v>
      </c>
      <c r="R159" s="1" t="s">
        <v>487</v>
      </c>
      <c r="S159" s="1">
        <v>0</v>
      </c>
    </row>
    <row r="160" spans="4:19" x14ac:dyDescent="0.25">
      <c r="D160" s="1">
        <v>1</v>
      </c>
      <c r="E160" s="1" t="s">
        <v>459</v>
      </c>
      <c r="G160" s="1" t="s">
        <v>461</v>
      </c>
      <c r="H160" s="1" t="s">
        <v>466</v>
      </c>
      <c r="I160" s="1" t="s">
        <v>474</v>
      </c>
      <c r="J160" s="1" t="s">
        <v>481</v>
      </c>
      <c r="K160" s="1" t="s">
        <v>474</v>
      </c>
      <c r="L160" s="1">
        <v>75</v>
      </c>
      <c r="M160" s="1">
        <v>30</v>
      </c>
      <c r="N160" s="1">
        <v>4</v>
      </c>
      <c r="O160" s="1">
        <v>4</v>
      </c>
      <c r="Q160" s="10">
        <v>0</v>
      </c>
      <c r="R160" s="1" t="s">
        <v>487</v>
      </c>
      <c r="S160" s="1">
        <v>0</v>
      </c>
    </row>
    <row r="161" spans="4:19" x14ac:dyDescent="0.25">
      <c r="D161" s="1">
        <v>1</v>
      </c>
      <c r="E161" s="1" t="s">
        <v>459</v>
      </c>
      <c r="G161" s="1" t="s">
        <v>461</v>
      </c>
      <c r="H161" s="1" t="s">
        <v>466</v>
      </c>
      <c r="I161" s="1" t="s">
        <v>474</v>
      </c>
      <c r="J161" s="1" t="s">
        <v>481</v>
      </c>
      <c r="K161" s="1" t="s">
        <v>474</v>
      </c>
      <c r="L161" s="1">
        <v>75</v>
      </c>
      <c r="M161" s="1">
        <v>30</v>
      </c>
      <c r="N161" s="1">
        <v>4</v>
      </c>
      <c r="O161" s="1">
        <v>4</v>
      </c>
      <c r="Q161" s="10">
        <v>0</v>
      </c>
      <c r="R161" s="1" t="s">
        <v>487</v>
      </c>
      <c r="S161" s="1">
        <v>0</v>
      </c>
    </row>
    <row r="162" spans="4:19" x14ac:dyDescent="0.25">
      <c r="D162" s="1">
        <v>1</v>
      </c>
      <c r="E162" s="1" t="s">
        <v>459</v>
      </c>
      <c r="G162" s="1" t="s">
        <v>461</v>
      </c>
      <c r="H162" s="1" t="s">
        <v>466</v>
      </c>
      <c r="I162" s="1" t="s">
        <v>474</v>
      </c>
      <c r="J162" s="1" t="s">
        <v>481</v>
      </c>
      <c r="K162" s="1" t="s">
        <v>474</v>
      </c>
      <c r="L162" s="1">
        <v>75</v>
      </c>
      <c r="M162" s="1">
        <v>30</v>
      </c>
      <c r="N162" s="1">
        <v>4</v>
      </c>
      <c r="O162" s="1">
        <v>4</v>
      </c>
      <c r="Q162" s="10">
        <v>0</v>
      </c>
      <c r="R162" s="1" t="s">
        <v>487</v>
      </c>
      <c r="S162" s="1">
        <v>0</v>
      </c>
    </row>
    <row r="163" spans="4:19" x14ac:dyDescent="0.25">
      <c r="D163" s="1">
        <v>1</v>
      </c>
      <c r="E163" s="1" t="s">
        <v>459</v>
      </c>
      <c r="G163" s="1" t="s">
        <v>461</v>
      </c>
      <c r="H163" s="1" t="s">
        <v>466</v>
      </c>
      <c r="I163" s="1" t="s">
        <v>474</v>
      </c>
      <c r="J163" s="1" t="s">
        <v>481</v>
      </c>
      <c r="K163" s="1" t="s">
        <v>474</v>
      </c>
      <c r="L163" s="1">
        <v>75</v>
      </c>
      <c r="M163" s="1">
        <v>30</v>
      </c>
      <c r="N163" s="1">
        <v>4</v>
      </c>
      <c r="O163" s="1">
        <v>4</v>
      </c>
      <c r="Q163" s="10">
        <v>0</v>
      </c>
      <c r="R163" s="1" t="s">
        <v>487</v>
      </c>
      <c r="S163" s="1">
        <v>0</v>
      </c>
    </row>
    <row r="164" spans="4:19" x14ac:dyDescent="0.25">
      <c r="D164" s="1">
        <v>1</v>
      </c>
      <c r="E164" s="1" t="s">
        <v>459</v>
      </c>
      <c r="G164" s="1" t="s">
        <v>461</v>
      </c>
      <c r="H164" s="1" t="s">
        <v>466</v>
      </c>
      <c r="I164" s="1" t="s">
        <v>474</v>
      </c>
      <c r="J164" s="1" t="s">
        <v>481</v>
      </c>
      <c r="K164" s="1" t="s">
        <v>474</v>
      </c>
      <c r="L164" s="1">
        <v>75</v>
      </c>
      <c r="M164" s="1">
        <v>30</v>
      </c>
      <c r="N164" s="1">
        <v>4</v>
      </c>
      <c r="O164" s="1">
        <v>4</v>
      </c>
      <c r="Q164" s="10">
        <v>0</v>
      </c>
      <c r="R164" s="1" t="s">
        <v>487</v>
      </c>
      <c r="S164" s="1">
        <v>0</v>
      </c>
    </row>
    <row r="165" spans="4:19" x14ac:dyDescent="0.25">
      <c r="D165" s="1">
        <v>1</v>
      </c>
      <c r="E165" s="1" t="s">
        <v>459</v>
      </c>
      <c r="G165" s="1" t="s">
        <v>461</v>
      </c>
      <c r="H165" s="1" t="s">
        <v>466</v>
      </c>
      <c r="I165" s="1" t="s">
        <v>474</v>
      </c>
      <c r="J165" s="1" t="s">
        <v>481</v>
      </c>
      <c r="K165" s="1" t="s">
        <v>474</v>
      </c>
      <c r="L165" s="1">
        <v>75</v>
      </c>
      <c r="M165" s="1">
        <v>30</v>
      </c>
      <c r="N165" s="1">
        <v>4</v>
      </c>
      <c r="O165" s="1">
        <v>4</v>
      </c>
      <c r="Q165" s="10">
        <v>0</v>
      </c>
      <c r="R165" s="1" t="s">
        <v>487</v>
      </c>
      <c r="S165" s="1">
        <v>0</v>
      </c>
    </row>
    <row r="166" spans="4:19" x14ac:dyDescent="0.25">
      <c r="D166" s="1">
        <v>1</v>
      </c>
      <c r="E166" s="1" t="s">
        <v>459</v>
      </c>
      <c r="G166" s="1" t="s">
        <v>461</v>
      </c>
      <c r="H166" s="1" t="s">
        <v>466</v>
      </c>
      <c r="I166" s="1" t="s">
        <v>474</v>
      </c>
      <c r="J166" s="1" t="s">
        <v>481</v>
      </c>
      <c r="K166" s="1" t="s">
        <v>474</v>
      </c>
      <c r="L166" s="1">
        <v>75</v>
      </c>
      <c r="M166" s="1">
        <v>30</v>
      </c>
      <c r="N166" s="1">
        <v>4</v>
      </c>
      <c r="O166" s="1">
        <v>4</v>
      </c>
      <c r="Q166" s="10">
        <v>0</v>
      </c>
      <c r="R166" s="1" t="s">
        <v>487</v>
      </c>
      <c r="S166" s="1">
        <v>0</v>
      </c>
    </row>
    <row r="167" spans="4:19" x14ac:dyDescent="0.25">
      <c r="D167" s="1">
        <v>1</v>
      </c>
      <c r="E167" s="1" t="s">
        <v>459</v>
      </c>
      <c r="G167" s="1" t="s">
        <v>461</v>
      </c>
      <c r="H167" s="1" t="s">
        <v>466</v>
      </c>
      <c r="I167" s="1" t="s">
        <v>474</v>
      </c>
      <c r="J167" s="1" t="s">
        <v>481</v>
      </c>
      <c r="K167" s="1" t="s">
        <v>474</v>
      </c>
      <c r="L167" s="1">
        <v>75</v>
      </c>
      <c r="M167" s="1">
        <v>30</v>
      </c>
      <c r="N167" s="1">
        <v>4</v>
      </c>
      <c r="O167" s="1">
        <v>4</v>
      </c>
      <c r="Q167" s="10">
        <v>0</v>
      </c>
      <c r="R167" s="1" t="s">
        <v>487</v>
      </c>
      <c r="S167" s="1">
        <v>0</v>
      </c>
    </row>
    <row r="168" spans="4:19" x14ac:dyDescent="0.25">
      <c r="D168" s="1">
        <v>1</v>
      </c>
      <c r="E168" s="1" t="s">
        <v>459</v>
      </c>
      <c r="G168" s="1" t="s">
        <v>461</v>
      </c>
      <c r="H168" s="1" t="s">
        <v>466</v>
      </c>
      <c r="I168" s="1" t="s">
        <v>474</v>
      </c>
      <c r="J168" s="1" t="s">
        <v>481</v>
      </c>
      <c r="K168" s="1" t="s">
        <v>474</v>
      </c>
      <c r="L168" s="1">
        <v>75</v>
      </c>
      <c r="M168" s="1">
        <v>30</v>
      </c>
      <c r="N168" s="1">
        <v>4</v>
      </c>
      <c r="O168" s="1">
        <v>4</v>
      </c>
      <c r="Q168" s="10">
        <v>0</v>
      </c>
      <c r="R168" s="1" t="s">
        <v>487</v>
      </c>
      <c r="S168" s="1">
        <v>0</v>
      </c>
    </row>
    <row r="169" spans="4:19" x14ac:dyDescent="0.25">
      <c r="D169" s="1">
        <v>1</v>
      </c>
      <c r="E169" s="1" t="s">
        <v>459</v>
      </c>
      <c r="G169" s="1" t="s">
        <v>461</v>
      </c>
      <c r="H169" s="1" t="s">
        <v>466</v>
      </c>
      <c r="I169" s="1" t="s">
        <v>474</v>
      </c>
      <c r="J169" s="1" t="s">
        <v>481</v>
      </c>
      <c r="K169" s="1" t="s">
        <v>474</v>
      </c>
      <c r="L169" s="1">
        <v>75</v>
      </c>
      <c r="M169" s="1">
        <v>30</v>
      </c>
      <c r="N169" s="1">
        <v>4</v>
      </c>
      <c r="O169" s="1">
        <v>4</v>
      </c>
      <c r="Q169" s="10">
        <v>0</v>
      </c>
      <c r="R169" s="1" t="s">
        <v>487</v>
      </c>
      <c r="S169" s="1">
        <v>0</v>
      </c>
    </row>
    <row r="170" spans="4:19" x14ac:dyDescent="0.25">
      <c r="D170" s="1">
        <v>1</v>
      </c>
      <c r="E170" s="1" t="s">
        <v>459</v>
      </c>
      <c r="G170" s="1" t="s">
        <v>461</v>
      </c>
      <c r="H170" s="1" t="s">
        <v>466</v>
      </c>
      <c r="I170" s="1" t="s">
        <v>474</v>
      </c>
      <c r="J170" s="1" t="s">
        <v>481</v>
      </c>
      <c r="K170" s="1" t="s">
        <v>474</v>
      </c>
      <c r="L170" s="1">
        <v>75</v>
      </c>
      <c r="M170" s="1">
        <v>30</v>
      </c>
      <c r="N170" s="1">
        <v>4</v>
      </c>
      <c r="O170" s="1">
        <v>4</v>
      </c>
      <c r="Q170" s="10">
        <v>0</v>
      </c>
      <c r="R170" s="1" t="s">
        <v>487</v>
      </c>
      <c r="S170" s="1">
        <v>0</v>
      </c>
    </row>
    <row r="171" spans="4:19" x14ac:dyDescent="0.25">
      <c r="D171" s="1">
        <v>1</v>
      </c>
      <c r="E171" s="1" t="s">
        <v>459</v>
      </c>
      <c r="G171" s="1" t="s">
        <v>461</v>
      </c>
      <c r="H171" s="1" t="s">
        <v>466</v>
      </c>
      <c r="I171" s="1" t="s">
        <v>474</v>
      </c>
      <c r="J171" s="1" t="s">
        <v>481</v>
      </c>
      <c r="K171" s="1" t="s">
        <v>474</v>
      </c>
      <c r="L171" s="1">
        <v>75</v>
      </c>
      <c r="M171" s="1">
        <v>30</v>
      </c>
      <c r="N171" s="1">
        <v>4</v>
      </c>
      <c r="O171" s="1">
        <v>4</v>
      </c>
      <c r="Q171" s="10">
        <v>0</v>
      </c>
      <c r="R171" s="1" t="s">
        <v>487</v>
      </c>
      <c r="S171" s="1">
        <v>0</v>
      </c>
    </row>
    <row r="172" spans="4:19" x14ac:dyDescent="0.25">
      <c r="D172" s="1">
        <v>1</v>
      </c>
      <c r="E172" s="1" t="s">
        <v>459</v>
      </c>
      <c r="G172" s="1" t="s">
        <v>461</v>
      </c>
      <c r="H172" s="1" t="s">
        <v>466</v>
      </c>
      <c r="I172" s="1" t="s">
        <v>474</v>
      </c>
      <c r="J172" s="1" t="s">
        <v>481</v>
      </c>
      <c r="K172" s="1" t="s">
        <v>474</v>
      </c>
      <c r="L172" s="1">
        <v>75</v>
      </c>
      <c r="M172" s="1">
        <v>30</v>
      </c>
      <c r="N172" s="1">
        <v>4</v>
      </c>
      <c r="O172" s="1">
        <v>4</v>
      </c>
      <c r="Q172" s="10">
        <v>0</v>
      </c>
      <c r="R172" s="1" t="s">
        <v>487</v>
      </c>
      <c r="S172" s="1">
        <v>0</v>
      </c>
    </row>
    <row r="173" spans="4:19" x14ac:dyDescent="0.25">
      <c r="D173" s="1">
        <v>1</v>
      </c>
      <c r="E173" s="1" t="s">
        <v>459</v>
      </c>
      <c r="G173" s="1" t="s">
        <v>461</v>
      </c>
      <c r="H173" s="1" t="s">
        <v>466</v>
      </c>
      <c r="I173" s="1" t="s">
        <v>474</v>
      </c>
      <c r="J173" s="1" t="s">
        <v>481</v>
      </c>
      <c r="K173" s="1" t="s">
        <v>474</v>
      </c>
      <c r="L173" s="1">
        <v>75</v>
      </c>
      <c r="M173" s="1">
        <v>30</v>
      </c>
      <c r="N173" s="1">
        <v>4</v>
      </c>
      <c r="O173" s="1">
        <v>4</v>
      </c>
      <c r="Q173" s="10">
        <v>0</v>
      </c>
      <c r="R173" s="1" t="s">
        <v>487</v>
      </c>
      <c r="S173" s="1">
        <v>0</v>
      </c>
    </row>
    <row r="174" spans="4:19" x14ac:dyDescent="0.25">
      <c r="D174" s="1">
        <v>1</v>
      </c>
      <c r="E174" s="1" t="s">
        <v>459</v>
      </c>
      <c r="G174" s="1" t="s">
        <v>461</v>
      </c>
      <c r="H174" s="1" t="s">
        <v>466</v>
      </c>
      <c r="I174" s="1" t="s">
        <v>474</v>
      </c>
      <c r="J174" s="1" t="s">
        <v>481</v>
      </c>
      <c r="K174" s="1" t="s">
        <v>474</v>
      </c>
      <c r="L174" s="1">
        <v>75</v>
      </c>
      <c r="M174" s="1">
        <v>30</v>
      </c>
      <c r="N174" s="1">
        <v>4</v>
      </c>
      <c r="O174" s="1">
        <v>4</v>
      </c>
      <c r="Q174" s="10">
        <v>0</v>
      </c>
      <c r="R174" s="1" t="s">
        <v>487</v>
      </c>
      <c r="S174" s="1">
        <v>0</v>
      </c>
    </row>
    <row r="175" spans="4:19" x14ac:dyDescent="0.25">
      <c r="D175" s="1">
        <v>1</v>
      </c>
      <c r="E175" s="1" t="s">
        <v>459</v>
      </c>
      <c r="G175" s="1" t="s">
        <v>461</v>
      </c>
      <c r="H175" s="1" t="s">
        <v>466</v>
      </c>
      <c r="I175" s="1" t="s">
        <v>474</v>
      </c>
      <c r="J175" s="1" t="s">
        <v>481</v>
      </c>
      <c r="K175" s="1" t="s">
        <v>474</v>
      </c>
      <c r="L175" s="1">
        <v>75</v>
      </c>
      <c r="M175" s="1">
        <v>30</v>
      </c>
      <c r="N175" s="1">
        <v>4</v>
      </c>
      <c r="O175" s="1">
        <v>4</v>
      </c>
      <c r="Q175" s="10">
        <v>0</v>
      </c>
      <c r="R175" s="1" t="s">
        <v>487</v>
      </c>
      <c r="S175" s="1">
        <v>0</v>
      </c>
    </row>
    <row r="176" spans="4:19" x14ac:dyDescent="0.25">
      <c r="D176" s="1">
        <v>1</v>
      </c>
      <c r="E176" s="1" t="s">
        <v>459</v>
      </c>
      <c r="G176" s="1" t="s">
        <v>461</v>
      </c>
      <c r="H176" s="1" t="s">
        <v>466</v>
      </c>
      <c r="I176" s="1" t="s">
        <v>474</v>
      </c>
      <c r="J176" s="1" t="s">
        <v>481</v>
      </c>
      <c r="K176" s="1" t="s">
        <v>474</v>
      </c>
      <c r="L176" s="1">
        <v>75</v>
      </c>
      <c r="M176" s="1">
        <v>30</v>
      </c>
      <c r="N176" s="1">
        <v>4</v>
      </c>
      <c r="O176" s="1">
        <v>4</v>
      </c>
      <c r="Q176" s="10">
        <v>0</v>
      </c>
      <c r="R176" s="1" t="s">
        <v>487</v>
      </c>
      <c r="S176" s="1">
        <v>0</v>
      </c>
    </row>
    <row r="177" spans="4:19" x14ac:dyDescent="0.25">
      <c r="D177" s="1">
        <v>1</v>
      </c>
      <c r="E177" s="1" t="s">
        <v>459</v>
      </c>
      <c r="G177" s="1" t="s">
        <v>461</v>
      </c>
      <c r="H177" s="1" t="s">
        <v>466</v>
      </c>
      <c r="I177" s="1" t="s">
        <v>474</v>
      </c>
      <c r="J177" s="1" t="s">
        <v>481</v>
      </c>
      <c r="K177" s="1" t="s">
        <v>474</v>
      </c>
      <c r="L177" s="1">
        <v>75</v>
      </c>
      <c r="M177" s="1">
        <v>30</v>
      </c>
      <c r="N177" s="1">
        <v>4</v>
      </c>
      <c r="O177" s="1">
        <v>4</v>
      </c>
      <c r="Q177" s="10">
        <v>0</v>
      </c>
      <c r="R177" s="1" t="s">
        <v>487</v>
      </c>
      <c r="S177" s="1">
        <v>0</v>
      </c>
    </row>
    <row r="178" spans="4:19" x14ac:dyDescent="0.25">
      <c r="D178" s="1">
        <v>1</v>
      </c>
      <c r="E178" s="1" t="s">
        <v>459</v>
      </c>
      <c r="G178" s="1" t="s">
        <v>461</v>
      </c>
      <c r="H178" s="1" t="s">
        <v>466</v>
      </c>
      <c r="I178" s="1" t="s">
        <v>474</v>
      </c>
      <c r="J178" s="1" t="s">
        <v>481</v>
      </c>
      <c r="K178" s="1" t="s">
        <v>474</v>
      </c>
      <c r="L178" s="1">
        <v>75</v>
      </c>
      <c r="M178" s="1">
        <v>30</v>
      </c>
      <c r="N178" s="1">
        <v>4</v>
      </c>
      <c r="O178" s="1">
        <v>4</v>
      </c>
      <c r="Q178" s="10">
        <v>0</v>
      </c>
      <c r="R178" s="1" t="s">
        <v>487</v>
      </c>
      <c r="S178" s="1">
        <v>0</v>
      </c>
    </row>
    <row r="179" spans="4:19" x14ac:dyDescent="0.25">
      <c r="D179" s="1">
        <v>1</v>
      </c>
      <c r="E179" s="1" t="s">
        <v>459</v>
      </c>
      <c r="G179" s="1" t="s">
        <v>461</v>
      </c>
      <c r="H179" s="1" t="s">
        <v>466</v>
      </c>
      <c r="I179" s="1" t="s">
        <v>474</v>
      </c>
      <c r="J179" s="1" t="s">
        <v>481</v>
      </c>
      <c r="K179" s="1" t="s">
        <v>474</v>
      </c>
      <c r="L179" s="1">
        <v>75</v>
      </c>
      <c r="M179" s="1">
        <v>30</v>
      </c>
      <c r="N179" s="1">
        <v>4</v>
      </c>
      <c r="O179" s="1">
        <v>4</v>
      </c>
      <c r="Q179" s="10">
        <v>0</v>
      </c>
      <c r="R179" s="1" t="s">
        <v>487</v>
      </c>
      <c r="S179" s="1">
        <v>0</v>
      </c>
    </row>
    <row r="180" spans="4:19" x14ac:dyDescent="0.25">
      <c r="D180" s="1">
        <v>1</v>
      </c>
      <c r="E180" s="1" t="s">
        <v>459</v>
      </c>
      <c r="G180" s="1" t="s">
        <v>461</v>
      </c>
      <c r="H180" s="1" t="s">
        <v>466</v>
      </c>
      <c r="I180" s="1" t="s">
        <v>474</v>
      </c>
      <c r="J180" s="1" t="s">
        <v>481</v>
      </c>
      <c r="K180" s="1" t="s">
        <v>474</v>
      </c>
      <c r="L180" s="1">
        <v>75</v>
      </c>
      <c r="M180" s="1">
        <v>30</v>
      </c>
      <c r="N180" s="1">
        <v>4</v>
      </c>
      <c r="O180" s="1">
        <v>4</v>
      </c>
      <c r="Q180" s="10">
        <v>0</v>
      </c>
      <c r="R180" s="1" t="s">
        <v>487</v>
      </c>
      <c r="S180" s="1">
        <v>0</v>
      </c>
    </row>
    <row r="181" spans="4:19" x14ac:dyDescent="0.25">
      <c r="D181" s="1">
        <v>1</v>
      </c>
      <c r="E181" s="1" t="s">
        <v>459</v>
      </c>
      <c r="G181" s="1" t="s">
        <v>461</v>
      </c>
      <c r="H181" s="1" t="s">
        <v>466</v>
      </c>
      <c r="I181" s="1" t="s">
        <v>474</v>
      </c>
      <c r="J181" s="1" t="s">
        <v>481</v>
      </c>
      <c r="K181" s="1" t="s">
        <v>474</v>
      </c>
      <c r="L181" s="1">
        <v>75</v>
      </c>
      <c r="M181" s="1">
        <v>30</v>
      </c>
      <c r="N181" s="1">
        <v>4</v>
      </c>
      <c r="O181" s="1">
        <v>4</v>
      </c>
      <c r="Q181" s="10">
        <v>0</v>
      </c>
      <c r="R181" s="1" t="s">
        <v>487</v>
      </c>
      <c r="S181" s="1">
        <v>0</v>
      </c>
    </row>
    <row r="182" spans="4:19" x14ac:dyDescent="0.25">
      <c r="D182" s="1">
        <v>1</v>
      </c>
      <c r="E182" s="1" t="s">
        <v>459</v>
      </c>
      <c r="G182" s="1" t="s">
        <v>461</v>
      </c>
      <c r="H182" s="1" t="s">
        <v>466</v>
      </c>
      <c r="I182" s="1" t="s">
        <v>474</v>
      </c>
      <c r="J182" s="1" t="s">
        <v>481</v>
      </c>
      <c r="K182" s="1" t="s">
        <v>474</v>
      </c>
      <c r="L182" s="1">
        <v>75</v>
      </c>
      <c r="M182" s="1">
        <v>30</v>
      </c>
      <c r="N182" s="1">
        <v>4</v>
      </c>
      <c r="O182" s="1">
        <v>4</v>
      </c>
      <c r="Q182" s="10">
        <v>0</v>
      </c>
      <c r="R182" s="1" t="s">
        <v>487</v>
      </c>
      <c r="S182" s="1">
        <v>0</v>
      </c>
    </row>
    <row r="183" spans="4:19" x14ac:dyDescent="0.25">
      <c r="D183" s="1">
        <v>1</v>
      </c>
      <c r="E183" s="1" t="s">
        <v>459</v>
      </c>
      <c r="G183" s="1" t="s">
        <v>461</v>
      </c>
      <c r="H183" s="1" t="s">
        <v>466</v>
      </c>
      <c r="I183" s="1" t="s">
        <v>474</v>
      </c>
      <c r="J183" s="1" t="s">
        <v>481</v>
      </c>
      <c r="K183" s="1" t="s">
        <v>474</v>
      </c>
      <c r="L183" s="1">
        <v>75</v>
      </c>
      <c r="M183" s="1">
        <v>30</v>
      </c>
      <c r="N183" s="1">
        <v>4</v>
      </c>
      <c r="O183" s="1">
        <v>4</v>
      </c>
      <c r="Q183" s="10">
        <v>0</v>
      </c>
      <c r="R183" s="1" t="s">
        <v>487</v>
      </c>
      <c r="S183" s="1">
        <v>0</v>
      </c>
    </row>
    <row r="184" spans="4:19" x14ac:dyDescent="0.25">
      <c r="D184" s="1">
        <v>1</v>
      </c>
      <c r="E184" s="1" t="s">
        <v>459</v>
      </c>
      <c r="G184" s="1" t="s">
        <v>461</v>
      </c>
      <c r="H184" s="1" t="s">
        <v>466</v>
      </c>
      <c r="I184" s="1" t="s">
        <v>474</v>
      </c>
      <c r="J184" s="1" t="s">
        <v>481</v>
      </c>
      <c r="K184" s="1" t="s">
        <v>474</v>
      </c>
      <c r="L184" s="1">
        <v>75</v>
      </c>
      <c r="M184" s="1">
        <v>30</v>
      </c>
      <c r="N184" s="1">
        <v>4</v>
      </c>
      <c r="O184" s="1">
        <v>4</v>
      </c>
      <c r="Q184" s="10">
        <v>0</v>
      </c>
      <c r="R184" s="1" t="s">
        <v>487</v>
      </c>
      <c r="S184" s="1">
        <v>0</v>
      </c>
    </row>
    <row r="185" spans="4:19" x14ac:dyDescent="0.25">
      <c r="D185" s="1">
        <v>1</v>
      </c>
      <c r="E185" s="1" t="s">
        <v>459</v>
      </c>
      <c r="G185" s="1" t="s">
        <v>461</v>
      </c>
      <c r="H185" s="1" t="s">
        <v>466</v>
      </c>
      <c r="I185" s="1" t="s">
        <v>474</v>
      </c>
      <c r="J185" s="1" t="s">
        <v>481</v>
      </c>
      <c r="K185" s="1" t="s">
        <v>474</v>
      </c>
      <c r="L185" s="1">
        <v>75</v>
      </c>
      <c r="M185" s="1">
        <v>30</v>
      </c>
      <c r="N185" s="1">
        <v>4</v>
      </c>
      <c r="O185" s="1">
        <v>4</v>
      </c>
      <c r="Q185" s="10">
        <v>0</v>
      </c>
      <c r="R185" s="1" t="s">
        <v>487</v>
      </c>
      <c r="S185" s="1">
        <v>0</v>
      </c>
    </row>
    <row r="186" spans="4:19" x14ac:dyDescent="0.25">
      <c r="D186" s="1">
        <v>1</v>
      </c>
      <c r="E186" s="1" t="s">
        <v>459</v>
      </c>
      <c r="G186" s="1" t="s">
        <v>461</v>
      </c>
      <c r="H186" s="1" t="s">
        <v>466</v>
      </c>
      <c r="I186" s="1" t="s">
        <v>474</v>
      </c>
      <c r="J186" s="1" t="s">
        <v>481</v>
      </c>
      <c r="K186" s="1" t="s">
        <v>474</v>
      </c>
      <c r="L186" s="1">
        <v>75</v>
      </c>
      <c r="M186" s="1">
        <v>30</v>
      </c>
      <c r="N186" s="1">
        <v>4</v>
      </c>
      <c r="O186" s="1">
        <v>4</v>
      </c>
      <c r="Q186" s="10">
        <v>0</v>
      </c>
      <c r="R186" s="1" t="s">
        <v>487</v>
      </c>
      <c r="S186" s="1">
        <v>0</v>
      </c>
    </row>
    <row r="187" spans="4:19" x14ac:dyDescent="0.25">
      <c r="D187" s="1">
        <v>1</v>
      </c>
      <c r="E187" s="1" t="s">
        <v>459</v>
      </c>
      <c r="G187" s="1" t="s">
        <v>461</v>
      </c>
      <c r="H187" s="1" t="s">
        <v>466</v>
      </c>
      <c r="I187" s="1" t="s">
        <v>474</v>
      </c>
      <c r="J187" s="1" t="s">
        <v>481</v>
      </c>
      <c r="K187" s="1" t="s">
        <v>474</v>
      </c>
      <c r="L187" s="1">
        <v>75</v>
      </c>
      <c r="M187" s="1">
        <v>30</v>
      </c>
      <c r="N187" s="1">
        <v>4</v>
      </c>
      <c r="O187" s="1">
        <v>4</v>
      </c>
      <c r="Q187" s="10">
        <v>0</v>
      </c>
      <c r="R187" s="1" t="s">
        <v>487</v>
      </c>
      <c r="S187" s="1">
        <v>0</v>
      </c>
    </row>
    <row r="188" spans="4:19" x14ac:dyDescent="0.25">
      <c r="D188" s="1">
        <v>1</v>
      </c>
      <c r="E188" s="1" t="s">
        <v>459</v>
      </c>
      <c r="G188" s="1" t="s">
        <v>461</v>
      </c>
      <c r="H188" s="1" t="s">
        <v>466</v>
      </c>
      <c r="I188" s="1" t="s">
        <v>474</v>
      </c>
      <c r="J188" s="1" t="s">
        <v>481</v>
      </c>
      <c r="K188" s="1" t="s">
        <v>474</v>
      </c>
      <c r="L188" s="1">
        <v>75</v>
      </c>
      <c r="M188" s="1">
        <v>30</v>
      </c>
      <c r="N188" s="1">
        <v>4</v>
      </c>
      <c r="O188" s="1">
        <v>4</v>
      </c>
      <c r="Q188" s="10">
        <v>0</v>
      </c>
      <c r="R188" s="1" t="s">
        <v>487</v>
      </c>
      <c r="S188" s="1">
        <v>0</v>
      </c>
    </row>
    <row r="189" spans="4:19" x14ac:dyDescent="0.25">
      <c r="D189" s="1">
        <v>1</v>
      </c>
      <c r="E189" s="1" t="s">
        <v>459</v>
      </c>
      <c r="G189" s="1" t="s">
        <v>461</v>
      </c>
      <c r="H189" s="1" t="s">
        <v>466</v>
      </c>
      <c r="I189" s="1" t="s">
        <v>474</v>
      </c>
      <c r="J189" s="1" t="s">
        <v>481</v>
      </c>
      <c r="K189" s="1" t="s">
        <v>474</v>
      </c>
      <c r="L189" s="1">
        <v>75</v>
      </c>
      <c r="M189" s="1">
        <v>30</v>
      </c>
      <c r="N189" s="1">
        <v>4</v>
      </c>
      <c r="O189" s="1">
        <v>4</v>
      </c>
      <c r="Q189" s="10">
        <v>0</v>
      </c>
      <c r="R189" s="1" t="s">
        <v>487</v>
      </c>
      <c r="S189" s="1">
        <v>0</v>
      </c>
    </row>
    <row r="190" spans="4:19" x14ac:dyDescent="0.25">
      <c r="D190" s="1">
        <v>1</v>
      </c>
      <c r="E190" s="1" t="s">
        <v>459</v>
      </c>
      <c r="G190" s="1" t="s">
        <v>461</v>
      </c>
      <c r="H190" s="1" t="s">
        <v>466</v>
      </c>
      <c r="I190" s="1" t="s">
        <v>474</v>
      </c>
      <c r="J190" s="1" t="s">
        <v>481</v>
      </c>
      <c r="K190" s="1" t="s">
        <v>474</v>
      </c>
      <c r="L190" s="1">
        <v>75</v>
      </c>
      <c r="M190" s="1">
        <v>30</v>
      </c>
      <c r="N190" s="1">
        <v>4</v>
      </c>
      <c r="O190" s="1">
        <v>4</v>
      </c>
      <c r="Q190" s="10">
        <v>0</v>
      </c>
      <c r="R190" s="1" t="s">
        <v>487</v>
      </c>
      <c r="S190" s="1">
        <v>0</v>
      </c>
    </row>
    <row r="191" spans="4:19" x14ac:dyDescent="0.25">
      <c r="D191" s="1">
        <v>1</v>
      </c>
      <c r="E191" s="1" t="s">
        <v>459</v>
      </c>
      <c r="G191" s="1" t="s">
        <v>461</v>
      </c>
      <c r="H191" s="1" t="s">
        <v>466</v>
      </c>
      <c r="I191" s="1" t="s">
        <v>474</v>
      </c>
      <c r="J191" s="1" t="s">
        <v>481</v>
      </c>
      <c r="K191" s="1" t="s">
        <v>474</v>
      </c>
      <c r="L191" s="1">
        <v>75</v>
      </c>
      <c r="M191" s="1">
        <v>30</v>
      </c>
      <c r="N191" s="1">
        <v>4</v>
      </c>
      <c r="O191" s="1">
        <v>4</v>
      </c>
      <c r="Q191" s="10">
        <v>0</v>
      </c>
      <c r="R191" s="1" t="s">
        <v>487</v>
      </c>
      <c r="S191" s="1">
        <v>0</v>
      </c>
    </row>
    <row r="192" spans="4:19" x14ac:dyDescent="0.25">
      <c r="D192" s="1">
        <v>1</v>
      </c>
      <c r="E192" s="1" t="s">
        <v>459</v>
      </c>
      <c r="G192" s="1" t="s">
        <v>461</v>
      </c>
      <c r="H192" s="1" t="s">
        <v>466</v>
      </c>
      <c r="I192" s="1" t="s">
        <v>474</v>
      </c>
      <c r="J192" s="1" t="s">
        <v>481</v>
      </c>
      <c r="K192" s="1" t="s">
        <v>474</v>
      </c>
      <c r="L192" s="1">
        <v>75</v>
      </c>
      <c r="M192" s="1">
        <v>30</v>
      </c>
      <c r="N192" s="1">
        <v>4</v>
      </c>
      <c r="O192" s="1">
        <v>4</v>
      </c>
      <c r="Q192" s="10">
        <v>0</v>
      </c>
      <c r="R192" s="1" t="s">
        <v>487</v>
      </c>
      <c r="S192" s="1">
        <v>0</v>
      </c>
    </row>
    <row r="193" spans="4:19" x14ac:dyDescent="0.25">
      <c r="D193" s="1">
        <v>1</v>
      </c>
      <c r="E193" s="1" t="s">
        <v>459</v>
      </c>
      <c r="G193" s="1" t="s">
        <v>461</v>
      </c>
      <c r="H193" s="1" t="s">
        <v>466</v>
      </c>
      <c r="I193" s="1" t="s">
        <v>474</v>
      </c>
      <c r="J193" s="1" t="s">
        <v>481</v>
      </c>
      <c r="K193" s="1" t="s">
        <v>474</v>
      </c>
      <c r="L193" s="1">
        <v>75</v>
      </c>
      <c r="M193" s="1">
        <v>30</v>
      </c>
      <c r="N193" s="1">
        <v>4</v>
      </c>
      <c r="O193" s="1">
        <v>4</v>
      </c>
      <c r="Q193" s="10">
        <v>0</v>
      </c>
      <c r="R193" s="1" t="s">
        <v>487</v>
      </c>
      <c r="S193" s="1">
        <v>0</v>
      </c>
    </row>
    <row r="194" spans="4:19" x14ac:dyDescent="0.25">
      <c r="D194" s="1">
        <v>1</v>
      </c>
      <c r="E194" s="1" t="s">
        <v>459</v>
      </c>
      <c r="G194" s="1" t="s">
        <v>461</v>
      </c>
      <c r="H194" s="1" t="s">
        <v>466</v>
      </c>
      <c r="I194" s="1" t="s">
        <v>474</v>
      </c>
      <c r="J194" s="1" t="s">
        <v>481</v>
      </c>
      <c r="K194" s="1" t="s">
        <v>474</v>
      </c>
      <c r="L194" s="1">
        <v>75</v>
      </c>
      <c r="M194" s="1">
        <v>30</v>
      </c>
      <c r="N194" s="1">
        <v>4</v>
      </c>
      <c r="O194" s="1">
        <v>4</v>
      </c>
      <c r="Q194" s="10">
        <v>0</v>
      </c>
      <c r="R194" s="1" t="s">
        <v>487</v>
      </c>
      <c r="S194" s="1">
        <v>0</v>
      </c>
    </row>
    <row r="195" spans="4:19" x14ac:dyDescent="0.25">
      <c r="D195" s="1">
        <v>1</v>
      </c>
      <c r="E195" s="1" t="s">
        <v>459</v>
      </c>
      <c r="G195" s="1" t="s">
        <v>461</v>
      </c>
      <c r="H195" s="1" t="s">
        <v>466</v>
      </c>
      <c r="I195" s="1" t="s">
        <v>474</v>
      </c>
      <c r="J195" s="1" t="s">
        <v>481</v>
      </c>
      <c r="K195" s="1" t="s">
        <v>474</v>
      </c>
      <c r="L195" s="1">
        <v>75</v>
      </c>
      <c r="M195" s="1">
        <v>30</v>
      </c>
      <c r="N195" s="1">
        <v>4</v>
      </c>
      <c r="O195" s="1">
        <v>4</v>
      </c>
      <c r="Q195" s="10">
        <v>0</v>
      </c>
      <c r="R195" s="1" t="s">
        <v>487</v>
      </c>
      <c r="S195" s="1">
        <v>0</v>
      </c>
    </row>
    <row r="196" spans="4:19" x14ac:dyDescent="0.25">
      <c r="D196" s="1">
        <v>1</v>
      </c>
      <c r="E196" s="1" t="s">
        <v>459</v>
      </c>
      <c r="G196" s="1" t="s">
        <v>461</v>
      </c>
      <c r="H196" s="1" t="s">
        <v>466</v>
      </c>
      <c r="I196" s="1" t="s">
        <v>474</v>
      </c>
      <c r="J196" s="1" t="s">
        <v>481</v>
      </c>
      <c r="K196" s="1" t="s">
        <v>474</v>
      </c>
      <c r="L196" s="1">
        <v>75</v>
      </c>
      <c r="M196" s="1">
        <v>30</v>
      </c>
      <c r="N196" s="1">
        <v>4</v>
      </c>
      <c r="O196" s="1">
        <v>4</v>
      </c>
      <c r="Q196" s="10">
        <v>0</v>
      </c>
      <c r="R196" s="1" t="s">
        <v>487</v>
      </c>
      <c r="S196" s="1">
        <v>0</v>
      </c>
    </row>
    <row r="197" spans="4:19" x14ac:dyDescent="0.25">
      <c r="D197" s="1">
        <v>1</v>
      </c>
      <c r="E197" s="1" t="s">
        <v>459</v>
      </c>
      <c r="G197" s="1" t="s">
        <v>461</v>
      </c>
      <c r="H197" s="1" t="s">
        <v>466</v>
      </c>
      <c r="I197" s="1" t="s">
        <v>474</v>
      </c>
      <c r="J197" s="1" t="s">
        <v>481</v>
      </c>
      <c r="K197" s="1" t="s">
        <v>474</v>
      </c>
      <c r="L197" s="1">
        <v>75</v>
      </c>
      <c r="M197" s="1">
        <v>30</v>
      </c>
      <c r="N197" s="1">
        <v>4</v>
      </c>
      <c r="O197" s="1">
        <v>4</v>
      </c>
      <c r="Q197" s="10">
        <v>0</v>
      </c>
      <c r="R197" s="1" t="s">
        <v>487</v>
      </c>
      <c r="S197" s="1">
        <v>0</v>
      </c>
    </row>
    <row r="198" spans="4:19" x14ac:dyDescent="0.25">
      <c r="D198" s="1">
        <v>1</v>
      </c>
      <c r="E198" s="1" t="s">
        <v>459</v>
      </c>
      <c r="G198" s="1" t="s">
        <v>461</v>
      </c>
      <c r="H198" s="1" t="s">
        <v>466</v>
      </c>
      <c r="I198" s="1" t="s">
        <v>474</v>
      </c>
      <c r="J198" s="1" t="s">
        <v>481</v>
      </c>
      <c r="K198" s="1" t="s">
        <v>474</v>
      </c>
      <c r="L198" s="1">
        <v>75</v>
      </c>
      <c r="M198" s="1">
        <v>30</v>
      </c>
      <c r="N198" s="1">
        <v>4</v>
      </c>
      <c r="O198" s="1">
        <v>4</v>
      </c>
      <c r="Q198" s="10">
        <v>0</v>
      </c>
      <c r="R198" s="1" t="s">
        <v>487</v>
      </c>
      <c r="S198" s="1">
        <v>0</v>
      </c>
    </row>
    <row r="199" spans="4:19" x14ac:dyDescent="0.25">
      <c r="D199" s="1">
        <v>1</v>
      </c>
      <c r="E199" s="1" t="s">
        <v>459</v>
      </c>
      <c r="G199" s="1" t="s">
        <v>461</v>
      </c>
      <c r="H199" s="1" t="s">
        <v>466</v>
      </c>
      <c r="I199" s="1" t="s">
        <v>474</v>
      </c>
      <c r="J199" s="1" t="s">
        <v>481</v>
      </c>
      <c r="K199" s="1" t="s">
        <v>474</v>
      </c>
      <c r="L199" s="1">
        <v>75</v>
      </c>
      <c r="M199" s="1">
        <v>30</v>
      </c>
      <c r="N199" s="1">
        <v>4</v>
      </c>
      <c r="O199" s="1">
        <v>4</v>
      </c>
      <c r="Q199" s="10">
        <v>0</v>
      </c>
      <c r="R199" s="1" t="s">
        <v>487</v>
      </c>
      <c r="S199" s="1">
        <v>0</v>
      </c>
    </row>
    <row r="200" spans="4:19" x14ac:dyDescent="0.25">
      <c r="D200" s="1">
        <v>1</v>
      </c>
      <c r="E200" s="1" t="s">
        <v>459</v>
      </c>
      <c r="G200" s="1" t="s">
        <v>461</v>
      </c>
      <c r="H200" s="1" t="s">
        <v>466</v>
      </c>
      <c r="I200" s="1" t="s">
        <v>474</v>
      </c>
      <c r="J200" s="1" t="s">
        <v>481</v>
      </c>
      <c r="K200" s="1" t="s">
        <v>474</v>
      </c>
      <c r="L200" s="1">
        <v>75</v>
      </c>
      <c r="M200" s="1">
        <v>30</v>
      </c>
      <c r="N200" s="1">
        <v>4</v>
      </c>
      <c r="O200" s="1">
        <v>4</v>
      </c>
      <c r="Q200" s="10">
        <v>0</v>
      </c>
      <c r="R200" s="1" t="s">
        <v>487</v>
      </c>
      <c r="S200" s="1">
        <v>0</v>
      </c>
    </row>
    <row r="201" spans="4:19" x14ac:dyDescent="0.25">
      <c r="D201" s="1">
        <v>1</v>
      </c>
      <c r="E201" s="1" t="s">
        <v>459</v>
      </c>
      <c r="G201" s="1" t="s">
        <v>461</v>
      </c>
      <c r="H201" s="1" t="s">
        <v>466</v>
      </c>
      <c r="I201" s="1" t="s">
        <v>474</v>
      </c>
      <c r="J201" s="1" t="s">
        <v>481</v>
      </c>
      <c r="K201" s="1" t="s">
        <v>474</v>
      </c>
      <c r="L201" s="1">
        <v>75</v>
      </c>
      <c r="M201" s="1">
        <v>30</v>
      </c>
      <c r="N201" s="1">
        <v>4</v>
      </c>
      <c r="O201" s="1">
        <v>4</v>
      </c>
      <c r="Q201" s="10">
        <v>0</v>
      </c>
      <c r="R201" s="1" t="s">
        <v>487</v>
      </c>
      <c r="S201" s="1">
        <v>0</v>
      </c>
    </row>
    <row r="202" spans="4:19" x14ac:dyDescent="0.25">
      <c r="D202" s="1">
        <v>1</v>
      </c>
      <c r="E202" s="1" t="s">
        <v>459</v>
      </c>
      <c r="G202" s="1" t="s">
        <v>461</v>
      </c>
      <c r="H202" s="1" t="s">
        <v>466</v>
      </c>
      <c r="I202" s="1" t="s">
        <v>474</v>
      </c>
      <c r="J202" s="1" t="s">
        <v>481</v>
      </c>
      <c r="K202" s="1" t="s">
        <v>474</v>
      </c>
      <c r="L202" s="1">
        <v>75</v>
      </c>
      <c r="M202" s="1">
        <v>30</v>
      </c>
      <c r="N202" s="1">
        <v>4</v>
      </c>
      <c r="O202" s="1">
        <v>4</v>
      </c>
      <c r="Q202" s="10">
        <v>0</v>
      </c>
      <c r="R202" s="1" t="s">
        <v>487</v>
      </c>
      <c r="S202" s="1">
        <v>0</v>
      </c>
    </row>
    <row r="203" spans="4:19" x14ac:dyDescent="0.25">
      <c r="D203" s="1">
        <v>1</v>
      </c>
      <c r="E203" s="1" t="s">
        <v>459</v>
      </c>
      <c r="G203" s="1" t="s">
        <v>461</v>
      </c>
      <c r="H203" s="1" t="s">
        <v>466</v>
      </c>
      <c r="I203" s="1" t="s">
        <v>474</v>
      </c>
      <c r="J203" s="1" t="s">
        <v>481</v>
      </c>
      <c r="K203" s="1" t="s">
        <v>474</v>
      </c>
      <c r="L203" s="1">
        <v>75</v>
      </c>
      <c r="M203" s="1">
        <v>30</v>
      </c>
      <c r="N203" s="1">
        <v>4</v>
      </c>
      <c r="O203" s="1">
        <v>4</v>
      </c>
      <c r="Q203" s="10">
        <v>0</v>
      </c>
      <c r="R203" s="1" t="s">
        <v>487</v>
      </c>
      <c r="S203" s="1">
        <v>0</v>
      </c>
    </row>
    <row r="204" spans="4:19" x14ac:dyDescent="0.25">
      <c r="D204" s="1">
        <v>1</v>
      </c>
      <c r="E204" s="1" t="s">
        <v>459</v>
      </c>
      <c r="G204" s="1" t="s">
        <v>461</v>
      </c>
      <c r="H204" s="1" t="s">
        <v>466</v>
      </c>
      <c r="I204" s="1" t="s">
        <v>474</v>
      </c>
      <c r="J204" s="1" t="s">
        <v>481</v>
      </c>
      <c r="K204" s="1" t="s">
        <v>474</v>
      </c>
      <c r="L204" s="1">
        <v>75</v>
      </c>
      <c r="M204" s="1">
        <v>30</v>
      </c>
      <c r="N204" s="1">
        <v>4</v>
      </c>
      <c r="O204" s="1">
        <v>4</v>
      </c>
      <c r="Q204" s="10">
        <v>0</v>
      </c>
      <c r="R204" s="1" t="s">
        <v>487</v>
      </c>
      <c r="S204" s="1">
        <v>0</v>
      </c>
    </row>
    <row r="205" spans="4:19" x14ac:dyDescent="0.25">
      <c r="D205" s="1">
        <v>1</v>
      </c>
      <c r="E205" s="1" t="s">
        <v>459</v>
      </c>
      <c r="G205" s="1" t="s">
        <v>461</v>
      </c>
      <c r="H205" s="1" t="s">
        <v>466</v>
      </c>
      <c r="I205" s="1" t="s">
        <v>474</v>
      </c>
      <c r="J205" s="1" t="s">
        <v>481</v>
      </c>
      <c r="K205" s="1" t="s">
        <v>474</v>
      </c>
      <c r="L205" s="1">
        <v>75</v>
      </c>
      <c r="M205" s="1">
        <v>30</v>
      </c>
      <c r="N205" s="1">
        <v>4</v>
      </c>
      <c r="O205" s="1">
        <v>4</v>
      </c>
      <c r="Q205" s="10">
        <v>0</v>
      </c>
      <c r="R205" s="1" t="s">
        <v>487</v>
      </c>
      <c r="S205" s="1">
        <v>0</v>
      </c>
    </row>
    <row r="206" spans="4:19" x14ac:dyDescent="0.25">
      <c r="D206" s="1">
        <v>1</v>
      </c>
      <c r="E206" s="1" t="s">
        <v>459</v>
      </c>
      <c r="G206" s="1" t="s">
        <v>461</v>
      </c>
      <c r="H206" s="1" t="s">
        <v>466</v>
      </c>
      <c r="I206" s="1" t="s">
        <v>474</v>
      </c>
      <c r="J206" s="1" t="s">
        <v>481</v>
      </c>
      <c r="K206" s="1" t="s">
        <v>474</v>
      </c>
      <c r="L206" s="1">
        <v>75</v>
      </c>
      <c r="M206" s="1">
        <v>30</v>
      </c>
      <c r="N206" s="1">
        <v>4</v>
      </c>
      <c r="O206" s="1">
        <v>4</v>
      </c>
      <c r="Q206" s="10">
        <v>0</v>
      </c>
      <c r="R206" s="1" t="s">
        <v>487</v>
      </c>
      <c r="S206" s="1">
        <v>0</v>
      </c>
    </row>
    <row r="207" spans="4:19" x14ac:dyDescent="0.25">
      <c r="D207" s="1">
        <v>1</v>
      </c>
      <c r="E207" s="1" t="s">
        <v>459</v>
      </c>
      <c r="G207" s="1" t="s">
        <v>461</v>
      </c>
      <c r="H207" s="1" t="s">
        <v>466</v>
      </c>
      <c r="I207" s="1" t="s">
        <v>474</v>
      </c>
      <c r="J207" s="1" t="s">
        <v>481</v>
      </c>
      <c r="K207" s="1" t="s">
        <v>474</v>
      </c>
      <c r="L207" s="1">
        <v>75</v>
      </c>
      <c r="M207" s="1">
        <v>30</v>
      </c>
      <c r="N207" s="1">
        <v>4</v>
      </c>
      <c r="O207" s="1">
        <v>4</v>
      </c>
      <c r="Q207" s="10">
        <v>0</v>
      </c>
      <c r="R207" s="1" t="s">
        <v>487</v>
      </c>
      <c r="S207" s="1">
        <v>0</v>
      </c>
    </row>
    <row r="208" spans="4:19" x14ac:dyDescent="0.25">
      <c r="D208" s="1">
        <v>1</v>
      </c>
      <c r="E208" s="1" t="s">
        <v>459</v>
      </c>
      <c r="G208" s="1" t="s">
        <v>461</v>
      </c>
      <c r="H208" s="1" t="s">
        <v>466</v>
      </c>
      <c r="I208" s="1" t="s">
        <v>474</v>
      </c>
      <c r="J208" s="1" t="s">
        <v>481</v>
      </c>
      <c r="K208" s="1" t="s">
        <v>474</v>
      </c>
      <c r="L208" s="1">
        <v>75</v>
      </c>
      <c r="M208" s="1">
        <v>30</v>
      </c>
      <c r="N208" s="1">
        <v>4</v>
      </c>
      <c r="O208" s="1">
        <v>4</v>
      </c>
      <c r="Q208" s="10">
        <v>0</v>
      </c>
      <c r="R208" s="1" t="s">
        <v>487</v>
      </c>
      <c r="S208" s="1">
        <v>0</v>
      </c>
    </row>
    <row r="209" spans="4:19" x14ac:dyDescent="0.25">
      <c r="D209" s="1">
        <v>1</v>
      </c>
      <c r="E209" s="1" t="s">
        <v>459</v>
      </c>
      <c r="G209" s="1" t="s">
        <v>461</v>
      </c>
      <c r="H209" s="1" t="s">
        <v>466</v>
      </c>
      <c r="I209" s="1" t="s">
        <v>474</v>
      </c>
      <c r="J209" s="1" t="s">
        <v>481</v>
      </c>
      <c r="K209" s="1" t="s">
        <v>474</v>
      </c>
      <c r="L209" s="1">
        <v>75</v>
      </c>
      <c r="M209" s="1">
        <v>30</v>
      </c>
      <c r="N209" s="1">
        <v>4</v>
      </c>
      <c r="O209" s="1">
        <v>4</v>
      </c>
      <c r="Q209" s="10">
        <v>0</v>
      </c>
      <c r="R209" s="1" t="s">
        <v>487</v>
      </c>
      <c r="S209" s="1">
        <v>0</v>
      </c>
    </row>
    <row r="210" spans="4:19" x14ac:dyDescent="0.25">
      <c r="D210" s="1">
        <v>1</v>
      </c>
      <c r="E210" s="1" t="s">
        <v>459</v>
      </c>
      <c r="G210" s="1" t="s">
        <v>461</v>
      </c>
      <c r="H210" s="1" t="s">
        <v>466</v>
      </c>
      <c r="I210" s="1" t="s">
        <v>474</v>
      </c>
      <c r="J210" s="1" t="s">
        <v>481</v>
      </c>
      <c r="K210" s="1" t="s">
        <v>474</v>
      </c>
      <c r="L210" s="1">
        <v>75</v>
      </c>
      <c r="M210" s="1">
        <v>30</v>
      </c>
      <c r="N210" s="1">
        <v>4</v>
      </c>
      <c r="O210" s="1">
        <v>4</v>
      </c>
      <c r="Q210" s="10">
        <v>0</v>
      </c>
      <c r="R210" s="1" t="s">
        <v>487</v>
      </c>
      <c r="S210" s="1">
        <v>0</v>
      </c>
    </row>
    <row r="211" spans="4:19" x14ac:dyDescent="0.25">
      <c r="D211" s="1">
        <v>1</v>
      </c>
      <c r="E211" s="1" t="s">
        <v>459</v>
      </c>
      <c r="G211" s="1" t="s">
        <v>461</v>
      </c>
      <c r="H211" s="1" t="s">
        <v>466</v>
      </c>
      <c r="I211" s="1" t="s">
        <v>474</v>
      </c>
      <c r="J211" s="1" t="s">
        <v>481</v>
      </c>
      <c r="K211" s="1" t="s">
        <v>474</v>
      </c>
      <c r="L211" s="1">
        <v>75</v>
      </c>
      <c r="M211" s="1">
        <v>30</v>
      </c>
      <c r="N211" s="1">
        <v>4</v>
      </c>
      <c r="O211" s="1">
        <v>4</v>
      </c>
      <c r="Q211" s="10">
        <v>0</v>
      </c>
      <c r="R211" s="1" t="s">
        <v>487</v>
      </c>
      <c r="S211" s="1">
        <v>0</v>
      </c>
    </row>
    <row r="212" spans="4:19" x14ac:dyDescent="0.25">
      <c r="D212" s="1">
        <v>1</v>
      </c>
      <c r="E212" s="1" t="s">
        <v>459</v>
      </c>
      <c r="G212" s="1" t="s">
        <v>461</v>
      </c>
      <c r="H212" s="1" t="s">
        <v>466</v>
      </c>
      <c r="I212" s="1" t="s">
        <v>474</v>
      </c>
      <c r="J212" s="1" t="s">
        <v>481</v>
      </c>
      <c r="K212" s="1" t="s">
        <v>474</v>
      </c>
      <c r="L212" s="1">
        <v>75</v>
      </c>
      <c r="M212" s="1">
        <v>30</v>
      </c>
      <c r="N212" s="1">
        <v>4</v>
      </c>
      <c r="O212" s="1">
        <v>4</v>
      </c>
      <c r="Q212" s="10">
        <v>0</v>
      </c>
      <c r="R212" s="1" t="s">
        <v>487</v>
      </c>
      <c r="S212" s="1">
        <v>0</v>
      </c>
    </row>
    <row r="213" spans="4:19" x14ac:dyDescent="0.25">
      <c r="D213" s="1">
        <v>1</v>
      </c>
      <c r="E213" s="1" t="s">
        <v>459</v>
      </c>
      <c r="G213" s="1" t="s">
        <v>461</v>
      </c>
      <c r="H213" s="1" t="s">
        <v>466</v>
      </c>
      <c r="I213" s="1" t="s">
        <v>474</v>
      </c>
      <c r="J213" s="1" t="s">
        <v>481</v>
      </c>
      <c r="K213" s="1" t="s">
        <v>474</v>
      </c>
      <c r="L213" s="1">
        <v>75</v>
      </c>
      <c r="M213" s="1">
        <v>30</v>
      </c>
      <c r="N213" s="1">
        <v>4</v>
      </c>
      <c r="O213" s="1">
        <v>4</v>
      </c>
      <c r="Q213" s="10">
        <v>0</v>
      </c>
      <c r="R213" s="1" t="s">
        <v>487</v>
      </c>
      <c r="S213" s="1">
        <v>0</v>
      </c>
    </row>
    <row r="214" spans="4:19" x14ac:dyDescent="0.25">
      <c r="D214" s="1">
        <v>1</v>
      </c>
      <c r="E214" s="1" t="s">
        <v>459</v>
      </c>
      <c r="G214" s="1" t="s">
        <v>461</v>
      </c>
      <c r="H214" s="1" t="s">
        <v>466</v>
      </c>
      <c r="I214" s="1" t="s">
        <v>474</v>
      </c>
      <c r="J214" s="1" t="s">
        <v>481</v>
      </c>
      <c r="K214" s="1" t="s">
        <v>474</v>
      </c>
      <c r="L214" s="1">
        <v>75</v>
      </c>
      <c r="M214" s="1">
        <v>30</v>
      </c>
      <c r="N214" s="1">
        <v>4</v>
      </c>
      <c r="O214" s="1">
        <v>4</v>
      </c>
      <c r="Q214" s="10">
        <v>0</v>
      </c>
      <c r="R214" s="1" t="s">
        <v>487</v>
      </c>
      <c r="S214" s="1">
        <v>0</v>
      </c>
    </row>
    <row r="215" spans="4:19" x14ac:dyDescent="0.25">
      <c r="D215" s="1">
        <v>1</v>
      </c>
      <c r="E215" s="1" t="s">
        <v>459</v>
      </c>
      <c r="G215" s="1" t="s">
        <v>461</v>
      </c>
      <c r="H215" s="1" t="s">
        <v>466</v>
      </c>
      <c r="I215" s="1" t="s">
        <v>474</v>
      </c>
      <c r="J215" s="1" t="s">
        <v>481</v>
      </c>
      <c r="K215" s="1" t="s">
        <v>474</v>
      </c>
      <c r="L215" s="1">
        <v>75</v>
      </c>
      <c r="M215" s="1">
        <v>30</v>
      </c>
      <c r="N215" s="1">
        <v>4</v>
      </c>
      <c r="O215" s="1">
        <v>4</v>
      </c>
      <c r="Q215" s="10">
        <v>0</v>
      </c>
      <c r="R215" s="1" t="s">
        <v>487</v>
      </c>
      <c r="S215" s="1">
        <v>0</v>
      </c>
    </row>
    <row r="216" spans="4:19" x14ac:dyDescent="0.25">
      <c r="D216" s="1">
        <v>1</v>
      </c>
      <c r="E216" s="1" t="s">
        <v>459</v>
      </c>
      <c r="G216" s="1" t="s">
        <v>461</v>
      </c>
      <c r="H216" s="1" t="s">
        <v>466</v>
      </c>
      <c r="I216" s="1" t="s">
        <v>474</v>
      </c>
      <c r="J216" s="1" t="s">
        <v>481</v>
      </c>
      <c r="K216" s="1" t="s">
        <v>474</v>
      </c>
      <c r="L216" s="1">
        <v>75</v>
      </c>
      <c r="M216" s="1">
        <v>30</v>
      </c>
      <c r="N216" s="1">
        <v>4</v>
      </c>
      <c r="O216" s="1">
        <v>4</v>
      </c>
      <c r="Q216" s="10">
        <v>0</v>
      </c>
      <c r="R216" s="1" t="s">
        <v>487</v>
      </c>
      <c r="S216" s="1">
        <v>0</v>
      </c>
    </row>
    <row r="217" spans="4:19" x14ac:dyDescent="0.25">
      <c r="D217" s="1">
        <v>1</v>
      </c>
      <c r="E217" s="1" t="s">
        <v>459</v>
      </c>
      <c r="G217" s="1" t="s">
        <v>461</v>
      </c>
      <c r="H217" s="1" t="s">
        <v>466</v>
      </c>
      <c r="I217" s="1" t="s">
        <v>474</v>
      </c>
      <c r="J217" s="1" t="s">
        <v>481</v>
      </c>
      <c r="K217" s="1" t="s">
        <v>474</v>
      </c>
      <c r="L217" s="1">
        <v>75</v>
      </c>
      <c r="M217" s="1">
        <v>30</v>
      </c>
      <c r="N217" s="1">
        <v>4</v>
      </c>
      <c r="O217" s="1">
        <v>4</v>
      </c>
      <c r="Q217" s="10">
        <v>0</v>
      </c>
      <c r="R217" s="1" t="s">
        <v>487</v>
      </c>
      <c r="S217" s="1">
        <v>0</v>
      </c>
    </row>
    <row r="218" spans="4:19" x14ac:dyDescent="0.25">
      <c r="D218" s="1">
        <v>1</v>
      </c>
      <c r="E218" s="1" t="s">
        <v>459</v>
      </c>
      <c r="G218" s="1" t="s">
        <v>461</v>
      </c>
      <c r="H218" s="1" t="s">
        <v>466</v>
      </c>
      <c r="I218" s="1" t="s">
        <v>474</v>
      </c>
      <c r="J218" s="1" t="s">
        <v>481</v>
      </c>
      <c r="K218" s="1" t="s">
        <v>474</v>
      </c>
      <c r="L218" s="1">
        <v>75</v>
      </c>
      <c r="M218" s="1">
        <v>30</v>
      </c>
      <c r="N218" s="1">
        <v>4</v>
      </c>
      <c r="O218" s="1">
        <v>4</v>
      </c>
      <c r="Q218" s="10">
        <v>0</v>
      </c>
      <c r="R218" s="1" t="s">
        <v>487</v>
      </c>
      <c r="S218" s="1">
        <v>0</v>
      </c>
    </row>
    <row r="219" spans="4:19" x14ac:dyDescent="0.25">
      <c r="D219" s="1">
        <v>1</v>
      </c>
      <c r="E219" s="1" t="s">
        <v>459</v>
      </c>
      <c r="G219" s="1" t="s">
        <v>461</v>
      </c>
      <c r="H219" s="1" t="s">
        <v>466</v>
      </c>
      <c r="I219" s="1" t="s">
        <v>474</v>
      </c>
      <c r="J219" s="1" t="s">
        <v>481</v>
      </c>
      <c r="K219" s="1" t="s">
        <v>474</v>
      </c>
      <c r="L219" s="1">
        <v>75</v>
      </c>
      <c r="M219" s="1">
        <v>30</v>
      </c>
      <c r="N219" s="1">
        <v>4</v>
      </c>
      <c r="O219" s="1">
        <v>4</v>
      </c>
      <c r="Q219" s="10">
        <v>0</v>
      </c>
      <c r="R219" s="1" t="s">
        <v>487</v>
      </c>
      <c r="S219" s="1">
        <v>0</v>
      </c>
    </row>
    <row r="220" spans="4:19" x14ac:dyDescent="0.25">
      <c r="D220" s="1">
        <v>1</v>
      </c>
      <c r="E220" s="1" t="s">
        <v>459</v>
      </c>
      <c r="G220" s="1" t="s">
        <v>461</v>
      </c>
      <c r="H220" s="1" t="s">
        <v>466</v>
      </c>
      <c r="I220" s="1" t="s">
        <v>474</v>
      </c>
      <c r="J220" s="1" t="s">
        <v>481</v>
      </c>
      <c r="K220" s="1" t="s">
        <v>474</v>
      </c>
      <c r="L220" s="1">
        <v>75</v>
      </c>
      <c r="M220" s="1">
        <v>30</v>
      </c>
      <c r="N220" s="1">
        <v>4</v>
      </c>
      <c r="O220" s="1">
        <v>4</v>
      </c>
      <c r="Q220" s="10">
        <v>0</v>
      </c>
      <c r="R220" s="1" t="s">
        <v>487</v>
      </c>
      <c r="S220" s="1">
        <v>0</v>
      </c>
    </row>
    <row r="221" spans="4:19" x14ac:dyDescent="0.25">
      <c r="D221" s="1">
        <v>1</v>
      </c>
      <c r="E221" s="1" t="s">
        <v>459</v>
      </c>
      <c r="G221" s="1" t="s">
        <v>461</v>
      </c>
      <c r="H221" s="1" t="s">
        <v>466</v>
      </c>
      <c r="I221" s="1" t="s">
        <v>474</v>
      </c>
      <c r="J221" s="1" t="s">
        <v>481</v>
      </c>
      <c r="K221" s="1" t="s">
        <v>474</v>
      </c>
      <c r="L221" s="1">
        <v>75</v>
      </c>
      <c r="M221" s="1">
        <v>30</v>
      </c>
      <c r="N221" s="1">
        <v>4</v>
      </c>
      <c r="O221" s="1">
        <v>4</v>
      </c>
      <c r="Q221" s="10">
        <v>0</v>
      </c>
      <c r="R221" s="1" t="s">
        <v>487</v>
      </c>
      <c r="S221" s="1">
        <v>0</v>
      </c>
    </row>
    <row r="222" spans="4:19" x14ac:dyDescent="0.25">
      <c r="D222" s="1">
        <v>1</v>
      </c>
      <c r="E222" s="1" t="s">
        <v>459</v>
      </c>
      <c r="G222" s="1" t="s">
        <v>461</v>
      </c>
      <c r="H222" s="1" t="s">
        <v>466</v>
      </c>
      <c r="I222" s="1" t="s">
        <v>474</v>
      </c>
      <c r="J222" s="1" t="s">
        <v>481</v>
      </c>
      <c r="K222" s="1" t="s">
        <v>474</v>
      </c>
      <c r="L222" s="1">
        <v>75</v>
      </c>
      <c r="M222" s="1">
        <v>30</v>
      </c>
      <c r="N222" s="1">
        <v>4</v>
      </c>
      <c r="O222" s="1">
        <v>4</v>
      </c>
      <c r="Q222" s="10">
        <v>0</v>
      </c>
      <c r="R222" s="1" t="s">
        <v>487</v>
      </c>
      <c r="S222" s="1">
        <v>0</v>
      </c>
    </row>
    <row r="223" spans="4:19" x14ac:dyDescent="0.25">
      <c r="D223" s="1">
        <v>1</v>
      </c>
      <c r="E223" s="1" t="s">
        <v>459</v>
      </c>
      <c r="G223" s="1" t="s">
        <v>461</v>
      </c>
      <c r="H223" s="1" t="s">
        <v>466</v>
      </c>
      <c r="I223" s="1" t="s">
        <v>474</v>
      </c>
      <c r="J223" s="1" t="s">
        <v>481</v>
      </c>
      <c r="K223" s="1" t="s">
        <v>474</v>
      </c>
      <c r="L223" s="1">
        <v>75</v>
      </c>
      <c r="M223" s="1">
        <v>30</v>
      </c>
      <c r="N223" s="1">
        <v>4</v>
      </c>
      <c r="O223" s="1">
        <v>4</v>
      </c>
      <c r="Q223" s="10">
        <v>0</v>
      </c>
      <c r="R223" s="1" t="s">
        <v>487</v>
      </c>
      <c r="S223" s="1">
        <v>0</v>
      </c>
    </row>
    <row r="224" spans="4:19" x14ac:dyDescent="0.25">
      <c r="D224" s="1">
        <v>1</v>
      </c>
      <c r="E224" s="1" t="s">
        <v>459</v>
      </c>
      <c r="G224" s="1" t="s">
        <v>461</v>
      </c>
      <c r="H224" s="1" t="s">
        <v>466</v>
      </c>
      <c r="I224" s="1" t="s">
        <v>474</v>
      </c>
      <c r="J224" s="1" t="s">
        <v>481</v>
      </c>
      <c r="K224" s="1" t="s">
        <v>474</v>
      </c>
      <c r="L224" s="1">
        <v>75</v>
      </c>
      <c r="M224" s="1">
        <v>30</v>
      </c>
      <c r="N224" s="1">
        <v>4</v>
      </c>
      <c r="O224" s="1">
        <v>4</v>
      </c>
      <c r="Q224" s="10">
        <v>0</v>
      </c>
      <c r="R224" s="1" t="s">
        <v>487</v>
      </c>
      <c r="S224" s="1">
        <v>0</v>
      </c>
    </row>
    <row r="225" spans="4:19" x14ac:dyDescent="0.25">
      <c r="D225" s="1">
        <v>1</v>
      </c>
      <c r="E225" s="1" t="s">
        <v>459</v>
      </c>
      <c r="G225" s="1" t="s">
        <v>461</v>
      </c>
      <c r="H225" s="1" t="s">
        <v>466</v>
      </c>
      <c r="I225" s="1" t="s">
        <v>474</v>
      </c>
      <c r="J225" s="1" t="s">
        <v>481</v>
      </c>
      <c r="K225" s="1" t="s">
        <v>474</v>
      </c>
      <c r="L225" s="1">
        <v>75</v>
      </c>
      <c r="M225" s="1">
        <v>30</v>
      </c>
      <c r="N225" s="1">
        <v>4</v>
      </c>
      <c r="O225" s="1">
        <v>4</v>
      </c>
      <c r="Q225" s="10">
        <v>0</v>
      </c>
      <c r="R225" s="1" t="s">
        <v>487</v>
      </c>
      <c r="S225" s="1">
        <v>0</v>
      </c>
    </row>
    <row r="226" spans="4:19" x14ac:dyDescent="0.25">
      <c r="D226" s="1">
        <v>1</v>
      </c>
      <c r="E226" s="1" t="s">
        <v>459</v>
      </c>
      <c r="G226" s="1" t="s">
        <v>461</v>
      </c>
      <c r="H226" s="1" t="s">
        <v>466</v>
      </c>
      <c r="I226" s="1" t="s">
        <v>474</v>
      </c>
      <c r="J226" s="1" t="s">
        <v>481</v>
      </c>
      <c r="K226" s="1" t="s">
        <v>474</v>
      </c>
      <c r="L226" s="1">
        <v>75</v>
      </c>
      <c r="M226" s="1">
        <v>30</v>
      </c>
      <c r="N226" s="1">
        <v>4</v>
      </c>
      <c r="O226" s="1">
        <v>4</v>
      </c>
      <c r="Q226" s="10">
        <v>0</v>
      </c>
      <c r="R226" s="1" t="s">
        <v>487</v>
      </c>
      <c r="S226" s="1">
        <v>0</v>
      </c>
    </row>
    <row r="227" spans="4:19" x14ac:dyDescent="0.25">
      <c r="D227" s="1">
        <v>1</v>
      </c>
      <c r="E227" s="1" t="s">
        <v>459</v>
      </c>
      <c r="G227" s="1" t="s">
        <v>461</v>
      </c>
      <c r="H227" s="1" t="s">
        <v>466</v>
      </c>
      <c r="I227" s="1" t="s">
        <v>474</v>
      </c>
      <c r="J227" s="1" t="s">
        <v>481</v>
      </c>
      <c r="K227" s="1" t="s">
        <v>474</v>
      </c>
      <c r="L227" s="1">
        <v>75</v>
      </c>
      <c r="M227" s="1">
        <v>30</v>
      </c>
      <c r="N227" s="1">
        <v>4</v>
      </c>
      <c r="O227" s="1">
        <v>4</v>
      </c>
      <c r="Q227" s="10">
        <v>0</v>
      </c>
      <c r="R227" s="1" t="s">
        <v>487</v>
      </c>
      <c r="S227" s="1">
        <v>0</v>
      </c>
    </row>
    <row r="228" spans="4:19" x14ac:dyDescent="0.25">
      <c r="D228" s="1">
        <v>1</v>
      </c>
      <c r="E228" s="1" t="s">
        <v>459</v>
      </c>
      <c r="G228" s="1" t="s">
        <v>461</v>
      </c>
      <c r="H228" s="1" t="s">
        <v>466</v>
      </c>
      <c r="I228" s="1" t="s">
        <v>474</v>
      </c>
      <c r="J228" s="1" t="s">
        <v>481</v>
      </c>
      <c r="K228" s="1" t="s">
        <v>474</v>
      </c>
      <c r="L228" s="1">
        <v>75</v>
      </c>
      <c r="M228" s="1">
        <v>30</v>
      </c>
      <c r="N228" s="1">
        <v>4</v>
      </c>
      <c r="O228" s="1">
        <v>4</v>
      </c>
      <c r="Q228" s="10">
        <v>0</v>
      </c>
      <c r="R228" s="1" t="s">
        <v>487</v>
      </c>
      <c r="S228" s="1">
        <v>0</v>
      </c>
    </row>
    <row r="229" spans="4:19" x14ac:dyDescent="0.25">
      <c r="D229" s="1">
        <v>1</v>
      </c>
      <c r="E229" s="1" t="s">
        <v>459</v>
      </c>
      <c r="G229" s="1" t="s">
        <v>461</v>
      </c>
      <c r="H229" s="1" t="s">
        <v>466</v>
      </c>
      <c r="I229" s="1" t="s">
        <v>474</v>
      </c>
      <c r="J229" s="1" t="s">
        <v>481</v>
      </c>
      <c r="K229" s="1" t="s">
        <v>474</v>
      </c>
      <c r="L229" s="1">
        <v>75</v>
      </c>
      <c r="M229" s="1">
        <v>30</v>
      </c>
      <c r="N229" s="1">
        <v>4</v>
      </c>
      <c r="O229" s="1">
        <v>4</v>
      </c>
      <c r="Q229" s="10">
        <v>0</v>
      </c>
      <c r="R229" s="1" t="s">
        <v>487</v>
      </c>
      <c r="S229" s="1">
        <v>0</v>
      </c>
    </row>
    <row r="230" spans="4:19" x14ac:dyDescent="0.25">
      <c r="D230" s="1">
        <v>1</v>
      </c>
      <c r="E230" s="1" t="s">
        <v>459</v>
      </c>
      <c r="G230" s="1" t="s">
        <v>461</v>
      </c>
      <c r="H230" s="1" t="s">
        <v>466</v>
      </c>
      <c r="I230" s="1" t="s">
        <v>474</v>
      </c>
      <c r="J230" s="1" t="s">
        <v>481</v>
      </c>
      <c r="K230" s="1" t="s">
        <v>474</v>
      </c>
      <c r="L230" s="1">
        <v>75</v>
      </c>
      <c r="M230" s="1">
        <v>30</v>
      </c>
      <c r="N230" s="1">
        <v>4</v>
      </c>
      <c r="O230" s="1">
        <v>4</v>
      </c>
      <c r="Q230" s="10">
        <v>0</v>
      </c>
      <c r="R230" s="1" t="s">
        <v>487</v>
      </c>
      <c r="S230" s="1">
        <v>0</v>
      </c>
    </row>
    <row r="231" spans="4:19" x14ac:dyDescent="0.25">
      <c r="D231" s="1">
        <v>1</v>
      </c>
      <c r="E231" s="1" t="s">
        <v>459</v>
      </c>
      <c r="G231" s="1" t="s">
        <v>461</v>
      </c>
      <c r="H231" s="1" t="s">
        <v>466</v>
      </c>
      <c r="I231" s="1" t="s">
        <v>474</v>
      </c>
      <c r="J231" s="1" t="s">
        <v>481</v>
      </c>
      <c r="K231" s="1" t="s">
        <v>474</v>
      </c>
      <c r="L231" s="1">
        <v>75</v>
      </c>
      <c r="M231" s="1">
        <v>30</v>
      </c>
      <c r="N231" s="1">
        <v>4</v>
      </c>
      <c r="O231" s="1">
        <v>4</v>
      </c>
      <c r="Q231" s="10">
        <v>0</v>
      </c>
      <c r="R231" s="1" t="s">
        <v>487</v>
      </c>
      <c r="S231" s="1">
        <v>0</v>
      </c>
    </row>
    <row r="232" spans="4:19" x14ac:dyDescent="0.25">
      <c r="D232" s="1">
        <v>1</v>
      </c>
      <c r="E232" s="1" t="s">
        <v>459</v>
      </c>
      <c r="G232" s="1" t="s">
        <v>461</v>
      </c>
      <c r="H232" s="1" t="s">
        <v>466</v>
      </c>
      <c r="I232" s="1" t="s">
        <v>474</v>
      </c>
      <c r="J232" s="1" t="s">
        <v>481</v>
      </c>
      <c r="K232" s="1" t="s">
        <v>474</v>
      </c>
      <c r="L232" s="1">
        <v>75</v>
      </c>
      <c r="M232" s="1">
        <v>30</v>
      </c>
      <c r="N232" s="1">
        <v>4</v>
      </c>
      <c r="O232" s="1">
        <v>4</v>
      </c>
      <c r="Q232" s="10">
        <v>0</v>
      </c>
      <c r="R232" s="1" t="s">
        <v>487</v>
      </c>
      <c r="S232" s="1">
        <v>0</v>
      </c>
    </row>
    <row r="233" spans="4:19" x14ac:dyDescent="0.25">
      <c r="D233" s="1">
        <v>1</v>
      </c>
      <c r="E233" s="1" t="s">
        <v>459</v>
      </c>
      <c r="G233" s="1" t="s">
        <v>461</v>
      </c>
      <c r="H233" s="1" t="s">
        <v>466</v>
      </c>
      <c r="I233" s="1" t="s">
        <v>474</v>
      </c>
      <c r="J233" s="1" t="s">
        <v>481</v>
      </c>
      <c r="K233" s="1" t="s">
        <v>474</v>
      </c>
      <c r="L233" s="1">
        <v>75</v>
      </c>
      <c r="M233" s="1">
        <v>30</v>
      </c>
      <c r="N233" s="1">
        <v>4</v>
      </c>
      <c r="O233" s="1">
        <v>4</v>
      </c>
      <c r="Q233" s="10">
        <v>0</v>
      </c>
      <c r="R233" s="1" t="s">
        <v>487</v>
      </c>
      <c r="S233" s="1">
        <v>0</v>
      </c>
    </row>
    <row r="234" spans="4:19" x14ac:dyDescent="0.25">
      <c r="D234" s="1">
        <v>1</v>
      </c>
      <c r="E234" s="1" t="s">
        <v>459</v>
      </c>
      <c r="G234" s="1" t="s">
        <v>461</v>
      </c>
      <c r="H234" s="1" t="s">
        <v>466</v>
      </c>
      <c r="I234" s="1" t="s">
        <v>474</v>
      </c>
      <c r="J234" s="1" t="s">
        <v>481</v>
      </c>
      <c r="K234" s="1" t="s">
        <v>474</v>
      </c>
      <c r="L234" s="1">
        <v>75</v>
      </c>
      <c r="M234" s="1">
        <v>30</v>
      </c>
      <c r="N234" s="1">
        <v>4</v>
      </c>
      <c r="O234" s="1">
        <v>4</v>
      </c>
      <c r="Q234" s="10">
        <v>0</v>
      </c>
      <c r="R234" s="1" t="s">
        <v>487</v>
      </c>
      <c r="S234" s="1">
        <v>0</v>
      </c>
    </row>
    <row r="235" spans="4:19" x14ac:dyDescent="0.25">
      <c r="D235" s="1">
        <v>1</v>
      </c>
      <c r="E235" s="1" t="s">
        <v>459</v>
      </c>
      <c r="G235" s="1" t="s">
        <v>461</v>
      </c>
      <c r="H235" s="1" t="s">
        <v>466</v>
      </c>
      <c r="I235" s="1" t="s">
        <v>474</v>
      </c>
      <c r="J235" s="1" t="s">
        <v>481</v>
      </c>
      <c r="K235" s="1" t="s">
        <v>474</v>
      </c>
      <c r="L235" s="1">
        <v>75</v>
      </c>
      <c r="M235" s="1">
        <v>30</v>
      </c>
      <c r="N235" s="1">
        <v>4</v>
      </c>
      <c r="O235" s="1">
        <v>4</v>
      </c>
      <c r="Q235" s="10">
        <v>0</v>
      </c>
      <c r="R235" s="1" t="s">
        <v>487</v>
      </c>
      <c r="S235" s="1">
        <v>0</v>
      </c>
    </row>
    <row r="236" spans="4:19" x14ac:dyDescent="0.25">
      <c r="D236" s="1">
        <v>1</v>
      </c>
      <c r="E236" s="1" t="s">
        <v>459</v>
      </c>
      <c r="G236" s="1" t="s">
        <v>461</v>
      </c>
      <c r="H236" s="1" t="s">
        <v>466</v>
      </c>
      <c r="I236" s="1" t="s">
        <v>474</v>
      </c>
      <c r="J236" s="1" t="s">
        <v>481</v>
      </c>
      <c r="K236" s="1" t="s">
        <v>474</v>
      </c>
      <c r="L236" s="1">
        <v>75</v>
      </c>
      <c r="M236" s="1">
        <v>30</v>
      </c>
      <c r="N236" s="1">
        <v>4</v>
      </c>
      <c r="O236" s="1">
        <v>4</v>
      </c>
      <c r="Q236" s="10">
        <v>0</v>
      </c>
      <c r="R236" s="1" t="s">
        <v>487</v>
      </c>
      <c r="S236" s="1">
        <v>0</v>
      </c>
    </row>
    <row r="237" spans="4:19" x14ac:dyDescent="0.25">
      <c r="D237" s="1">
        <v>1</v>
      </c>
      <c r="E237" s="1" t="s">
        <v>459</v>
      </c>
      <c r="G237" s="1" t="s">
        <v>461</v>
      </c>
      <c r="H237" s="1" t="s">
        <v>466</v>
      </c>
      <c r="I237" s="1" t="s">
        <v>474</v>
      </c>
      <c r="J237" s="1" t="s">
        <v>481</v>
      </c>
      <c r="K237" s="1" t="s">
        <v>474</v>
      </c>
      <c r="L237" s="1">
        <v>75</v>
      </c>
      <c r="M237" s="1">
        <v>30</v>
      </c>
      <c r="N237" s="1">
        <v>4</v>
      </c>
      <c r="O237" s="1">
        <v>4</v>
      </c>
      <c r="Q237" s="10">
        <v>0</v>
      </c>
      <c r="R237" s="1" t="s">
        <v>487</v>
      </c>
      <c r="S237" s="1">
        <v>0</v>
      </c>
    </row>
    <row r="238" spans="4:19" x14ac:dyDescent="0.25">
      <c r="D238" s="1">
        <v>1</v>
      </c>
      <c r="E238" s="1" t="s">
        <v>459</v>
      </c>
      <c r="G238" s="1" t="s">
        <v>461</v>
      </c>
      <c r="H238" s="1" t="s">
        <v>466</v>
      </c>
      <c r="I238" s="1" t="s">
        <v>474</v>
      </c>
      <c r="J238" s="1" t="s">
        <v>481</v>
      </c>
      <c r="K238" s="1" t="s">
        <v>474</v>
      </c>
      <c r="L238" s="1">
        <v>75</v>
      </c>
      <c r="M238" s="1">
        <v>30</v>
      </c>
      <c r="N238" s="1">
        <v>4</v>
      </c>
      <c r="O238" s="1">
        <v>4</v>
      </c>
      <c r="Q238" s="10">
        <v>0</v>
      </c>
      <c r="R238" s="1" t="s">
        <v>487</v>
      </c>
      <c r="S238" s="1">
        <v>0</v>
      </c>
    </row>
    <row r="239" spans="4:19" x14ac:dyDescent="0.25">
      <c r="D239" s="1">
        <v>1</v>
      </c>
      <c r="E239" s="1" t="s">
        <v>459</v>
      </c>
      <c r="G239" s="1" t="s">
        <v>461</v>
      </c>
      <c r="H239" s="1" t="s">
        <v>466</v>
      </c>
      <c r="I239" s="1" t="s">
        <v>474</v>
      </c>
      <c r="J239" s="1" t="s">
        <v>481</v>
      </c>
      <c r="K239" s="1" t="s">
        <v>474</v>
      </c>
      <c r="L239" s="1">
        <v>75</v>
      </c>
      <c r="M239" s="1">
        <v>30</v>
      </c>
      <c r="N239" s="1">
        <v>4</v>
      </c>
      <c r="O239" s="1">
        <v>4</v>
      </c>
      <c r="Q239" s="10">
        <v>0</v>
      </c>
      <c r="R239" s="1" t="s">
        <v>487</v>
      </c>
      <c r="S239" s="1">
        <v>0</v>
      </c>
    </row>
    <row r="240" spans="4:19" x14ac:dyDescent="0.25">
      <c r="D240" s="1">
        <v>1</v>
      </c>
      <c r="E240" s="1" t="s">
        <v>459</v>
      </c>
      <c r="G240" s="1" t="s">
        <v>461</v>
      </c>
      <c r="H240" s="1" t="s">
        <v>466</v>
      </c>
      <c r="I240" s="1" t="s">
        <v>474</v>
      </c>
      <c r="J240" s="1" t="s">
        <v>481</v>
      </c>
      <c r="K240" s="1" t="s">
        <v>474</v>
      </c>
      <c r="L240" s="1">
        <v>75</v>
      </c>
      <c r="M240" s="1">
        <v>30</v>
      </c>
      <c r="N240" s="1">
        <v>4</v>
      </c>
      <c r="O240" s="1">
        <v>4</v>
      </c>
      <c r="Q240" s="10">
        <v>0</v>
      </c>
      <c r="R240" s="1" t="s">
        <v>487</v>
      </c>
      <c r="S240" s="1">
        <v>0</v>
      </c>
    </row>
    <row r="241" spans="4:19" x14ac:dyDescent="0.25">
      <c r="D241" s="1">
        <v>1</v>
      </c>
      <c r="E241" s="1" t="s">
        <v>459</v>
      </c>
      <c r="G241" s="1" t="s">
        <v>461</v>
      </c>
      <c r="H241" s="1" t="s">
        <v>466</v>
      </c>
      <c r="I241" s="1" t="s">
        <v>474</v>
      </c>
      <c r="J241" s="1" t="s">
        <v>481</v>
      </c>
      <c r="K241" s="1" t="s">
        <v>474</v>
      </c>
      <c r="L241" s="1">
        <v>75</v>
      </c>
      <c r="M241" s="1">
        <v>30</v>
      </c>
      <c r="N241" s="1">
        <v>4</v>
      </c>
      <c r="O241" s="1">
        <v>4</v>
      </c>
      <c r="Q241" s="10">
        <v>0</v>
      </c>
      <c r="R241" s="1" t="s">
        <v>487</v>
      </c>
      <c r="S241" s="1">
        <v>0</v>
      </c>
    </row>
    <row r="242" spans="4:19" x14ac:dyDescent="0.25">
      <c r="D242" s="1">
        <v>1</v>
      </c>
      <c r="E242" s="1" t="s">
        <v>459</v>
      </c>
      <c r="G242" s="1" t="s">
        <v>461</v>
      </c>
      <c r="H242" s="1" t="s">
        <v>466</v>
      </c>
      <c r="I242" s="1" t="s">
        <v>474</v>
      </c>
      <c r="J242" s="1" t="s">
        <v>481</v>
      </c>
      <c r="K242" s="1" t="s">
        <v>474</v>
      </c>
      <c r="L242" s="1">
        <v>75</v>
      </c>
      <c r="M242" s="1">
        <v>30</v>
      </c>
      <c r="N242" s="1">
        <v>4</v>
      </c>
      <c r="O242" s="1">
        <v>4</v>
      </c>
      <c r="Q242" s="10">
        <v>0</v>
      </c>
      <c r="R242" s="1" t="s">
        <v>487</v>
      </c>
      <c r="S242" s="1">
        <v>0</v>
      </c>
    </row>
    <row r="243" spans="4:19" x14ac:dyDescent="0.25">
      <c r="D243" s="1">
        <v>1</v>
      </c>
      <c r="E243" s="1" t="s">
        <v>459</v>
      </c>
      <c r="G243" s="1" t="s">
        <v>461</v>
      </c>
      <c r="H243" s="1" t="s">
        <v>466</v>
      </c>
      <c r="I243" s="1" t="s">
        <v>474</v>
      </c>
      <c r="J243" s="1" t="s">
        <v>481</v>
      </c>
      <c r="K243" s="1" t="s">
        <v>474</v>
      </c>
      <c r="L243" s="1">
        <v>75</v>
      </c>
      <c r="M243" s="1">
        <v>30</v>
      </c>
      <c r="N243" s="1">
        <v>4</v>
      </c>
      <c r="O243" s="1">
        <v>4</v>
      </c>
      <c r="Q243" s="10">
        <v>0</v>
      </c>
      <c r="R243" s="1" t="s">
        <v>487</v>
      </c>
      <c r="S243" s="1">
        <v>0</v>
      </c>
    </row>
    <row r="244" spans="4:19" x14ac:dyDescent="0.25">
      <c r="D244" s="1">
        <v>1</v>
      </c>
      <c r="E244" s="1" t="s">
        <v>459</v>
      </c>
      <c r="G244" s="1" t="s">
        <v>461</v>
      </c>
      <c r="H244" s="1" t="s">
        <v>466</v>
      </c>
      <c r="I244" s="1" t="s">
        <v>474</v>
      </c>
      <c r="J244" s="1" t="s">
        <v>481</v>
      </c>
      <c r="K244" s="1" t="s">
        <v>474</v>
      </c>
      <c r="L244" s="1">
        <v>75</v>
      </c>
      <c r="M244" s="1">
        <v>30</v>
      </c>
      <c r="N244" s="1">
        <v>4</v>
      </c>
      <c r="O244" s="1">
        <v>4</v>
      </c>
      <c r="Q244" s="10">
        <v>0</v>
      </c>
      <c r="R244" s="1" t="s">
        <v>487</v>
      </c>
      <c r="S244" s="1">
        <v>0</v>
      </c>
    </row>
    <row r="245" spans="4:19" x14ac:dyDescent="0.25">
      <c r="D245" s="1">
        <v>1</v>
      </c>
      <c r="E245" s="1" t="s">
        <v>459</v>
      </c>
      <c r="G245" s="1" t="s">
        <v>461</v>
      </c>
      <c r="H245" s="1" t="s">
        <v>466</v>
      </c>
      <c r="I245" s="1" t="s">
        <v>474</v>
      </c>
      <c r="J245" s="1" t="s">
        <v>481</v>
      </c>
      <c r="K245" s="1" t="s">
        <v>474</v>
      </c>
      <c r="L245" s="1">
        <v>75</v>
      </c>
      <c r="M245" s="1">
        <v>30</v>
      </c>
      <c r="N245" s="1">
        <v>4</v>
      </c>
      <c r="O245" s="1">
        <v>4</v>
      </c>
      <c r="Q245" s="10">
        <v>0</v>
      </c>
      <c r="R245" s="1" t="s">
        <v>487</v>
      </c>
      <c r="S245" s="1">
        <v>0</v>
      </c>
    </row>
    <row r="246" spans="4:19" x14ac:dyDescent="0.25">
      <c r="D246" s="1">
        <v>1</v>
      </c>
      <c r="E246" s="1" t="s">
        <v>459</v>
      </c>
      <c r="G246" s="1" t="s">
        <v>461</v>
      </c>
      <c r="H246" s="1" t="s">
        <v>466</v>
      </c>
      <c r="I246" s="1" t="s">
        <v>474</v>
      </c>
      <c r="J246" s="1" t="s">
        <v>481</v>
      </c>
      <c r="K246" s="1" t="s">
        <v>474</v>
      </c>
      <c r="L246" s="1">
        <v>75</v>
      </c>
      <c r="M246" s="1">
        <v>30</v>
      </c>
      <c r="N246" s="1">
        <v>4</v>
      </c>
      <c r="O246" s="1">
        <v>4</v>
      </c>
      <c r="Q246" s="10">
        <v>0</v>
      </c>
      <c r="R246" s="1" t="s">
        <v>487</v>
      </c>
      <c r="S246" s="1">
        <v>0</v>
      </c>
    </row>
    <row r="247" spans="4:19" x14ac:dyDescent="0.25">
      <c r="D247" s="1">
        <v>1</v>
      </c>
      <c r="E247" s="1" t="s">
        <v>459</v>
      </c>
      <c r="G247" s="1" t="s">
        <v>461</v>
      </c>
      <c r="H247" s="1" t="s">
        <v>466</v>
      </c>
      <c r="I247" s="1" t="s">
        <v>474</v>
      </c>
      <c r="J247" s="1" t="s">
        <v>481</v>
      </c>
      <c r="K247" s="1" t="s">
        <v>474</v>
      </c>
      <c r="L247" s="1">
        <v>75</v>
      </c>
      <c r="M247" s="1">
        <v>30</v>
      </c>
      <c r="N247" s="1">
        <v>4</v>
      </c>
      <c r="O247" s="1">
        <v>4</v>
      </c>
      <c r="Q247" s="10">
        <v>0</v>
      </c>
      <c r="R247" s="1" t="s">
        <v>487</v>
      </c>
      <c r="S247" s="1">
        <v>0</v>
      </c>
    </row>
    <row r="248" spans="4:19" x14ac:dyDescent="0.25">
      <c r="D248" s="1">
        <v>1</v>
      </c>
      <c r="E248" s="1" t="s">
        <v>459</v>
      </c>
      <c r="G248" s="1" t="s">
        <v>461</v>
      </c>
      <c r="H248" s="1" t="s">
        <v>466</v>
      </c>
      <c r="I248" s="1" t="s">
        <v>474</v>
      </c>
      <c r="J248" s="1" t="s">
        <v>481</v>
      </c>
      <c r="K248" s="1" t="s">
        <v>474</v>
      </c>
      <c r="L248" s="1">
        <v>75</v>
      </c>
      <c r="M248" s="1">
        <v>30</v>
      </c>
      <c r="N248" s="1">
        <v>4</v>
      </c>
      <c r="O248" s="1">
        <v>4</v>
      </c>
      <c r="Q248" s="10">
        <v>0</v>
      </c>
      <c r="R248" s="1" t="s">
        <v>487</v>
      </c>
      <c r="S248" s="1">
        <v>0</v>
      </c>
    </row>
    <row r="249" spans="4:19" x14ac:dyDescent="0.25">
      <c r="D249" s="1">
        <v>1</v>
      </c>
      <c r="E249" s="1" t="s">
        <v>459</v>
      </c>
      <c r="G249" s="1" t="s">
        <v>461</v>
      </c>
      <c r="H249" s="1" t="s">
        <v>466</v>
      </c>
      <c r="I249" s="1" t="s">
        <v>474</v>
      </c>
      <c r="J249" s="1" t="s">
        <v>481</v>
      </c>
      <c r="K249" s="1" t="s">
        <v>474</v>
      </c>
      <c r="L249" s="1">
        <v>75</v>
      </c>
      <c r="M249" s="1">
        <v>30</v>
      </c>
      <c r="N249" s="1">
        <v>4</v>
      </c>
      <c r="O249" s="1">
        <v>4</v>
      </c>
      <c r="Q249" s="10">
        <v>0</v>
      </c>
      <c r="R249" s="1" t="s">
        <v>487</v>
      </c>
      <c r="S249" s="1">
        <v>0</v>
      </c>
    </row>
    <row r="250" spans="4:19" x14ac:dyDescent="0.25">
      <c r="D250" s="1">
        <v>1</v>
      </c>
      <c r="E250" s="1" t="s">
        <v>459</v>
      </c>
      <c r="G250" s="1" t="s">
        <v>461</v>
      </c>
      <c r="H250" s="1" t="s">
        <v>466</v>
      </c>
      <c r="I250" s="1" t="s">
        <v>474</v>
      </c>
      <c r="J250" s="1" t="s">
        <v>481</v>
      </c>
      <c r="K250" s="1" t="s">
        <v>474</v>
      </c>
      <c r="L250" s="1">
        <v>75</v>
      </c>
      <c r="M250" s="1">
        <v>30</v>
      </c>
      <c r="N250" s="1">
        <v>4</v>
      </c>
      <c r="O250" s="1">
        <v>4</v>
      </c>
      <c r="Q250" s="10">
        <v>0</v>
      </c>
      <c r="R250" s="1" t="s">
        <v>487</v>
      </c>
      <c r="S250" s="1">
        <v>0</v>
      </c>
    </row>
    <row r="251" spans="4:19" x14ac:dyDescent="0.25">
      <c r="D251" s="1">
        <v>1</v>
      </c>
      <c r="E251" s="1" t="s">
        <v>459</v>
      </c>
      <c r="G251" s="1" t="s">
        <v>461</v>
      </c>
      <c r="H251" s="1" t="s">
        <v>466</v>
      </c>
      <c r="I251" s="1" t="s">
        <v>474</v>
      </c>
      <c r="J251" s="1" t="s">
        <v>481</v>
      </c>
      <c r="K251" s="1" t="s">
        <v>474</v>
      </c>
      <c r="L251" s="1">
        <v>75</v>
      </c>
      <c r="M251" s="1">
        <v>30</v>
      </c>
      <c r="N251" s="1">
        <v>4</v>
      </c>
      <c r="O251" s="1">
        <v>4</v>
      </c>
      <c r="Q251" s="10">
        <v>0</v>
      </c>
      <c r="R251" s="1" t="s">
        <v>487</v>
      </c>
      <c r="S251" s="1">
        <v>0</v>
      </c>
    </row>
    <row r="252" spans="4:19" x14ac:dyDescent="0.25">
      <c r="D252" s="1">
        <v>1</v>
      </c>
      <c r="E252" s="1" t="s">
        <v>459</v>
      </c>
      <c r="G252" s="1" t="s">
        <v>461</v>
      </c>
      <c r="H252" s="1" t="s">
        <v>466</v>
      </c>
      <c r="I252" s="1" t="s">
        <v>474</v>
      </c>
      <c r="J252" s="1" t="s">
        <v>481</v>
      </c>
      <c r="K252" s="1" t="s">
        <v>474</v>
      </c>
      <c r="L252" s="1">
        <v>75</v>
      </c>
      <c r="M252" s="1">
        <v>30</v>
      </c>
      <c r="N252" s="1">
        <v>4</v>
      </c>
      <c r="O252" s="1">
        <v>4</v>
      </c>
      <c r="Q252" s="10">
        <v>0</v>
      </c>
      <c r="R252" s="1" t="s">
        <v>487</v>
      </c>
      <c r="S252" s="1">
        <v>0</v>
      </c>
    </row>
    <row r="253" spans="4:19" x14ac:dyDescent="0.25">
      <c r="D253" s="1">
        <v>1</v>
      </c>
      <c r="E253" s="1" t="s">
        <v>459</v>
      </c>
      <c r="G253" s="1" t="s">
        <v>461</v>
      </c>
      <c r="H253" s="1" t="s">
        <v>466</v>
      </c>
      <c r="I253" s="1" t="s">
        <v>474</v>
      </c>
      <c r="J253" s="1" t="s">
        <v>481</v>
      </c>
      <c r="K253" s="1" t="s">
        <v>474</v>
      </c>
      <c r="L253" s="1">
        <v>75</v>
      </c>
      <c r="M253" s="1">
        <v>30</v>
      </c>
      <c r="N253" s="1">
        <v>4</v>
      </c>
      <c r="O253" s="1">
        <v>4</v>
      </c>
      <c r="Q253" s="10">
        <v>0</v>
      </c>
      <c r="R253" s="1" t="s">
        <v>487</v>
      </c>
      <c r="S253" s="1">
        <v>0</v>
      </c>
    </row>
    <row r="254" spans="4:19" x14ac:dyDescent="0.25">
      <c r="D254" s="1">
        <v>1</v>
      </c>
      <c r="E254" s="1" t="s">
        <v>459</v>
      </c>
      <c r="G254" s="1" t="s">
        <v>461</v>
      </c>
      <c r="H254" s="1" t="s">
        <v>466</v>
      </c>
      <c r="I254" s="1" t="s">
        <v>474</v>
      </c>
      <c r="J254" s="1" t="s">
        <v>481</v>
      </c>
      <c r="K254" s="1" t="s">
        <v>474</v>
      </c>
      <c r="L254" s="1">
        <v>75</v>
      </c>
      <c r="M254" s="1">
        <v>30</v>
      </c>
      <c r="N254" s="1">
        <v>4</v>
      </c>
      <c r="O254" s="1">
        <v>4</v>
      </c>
      <c r="Q254" s="10">
        <v>0</v>
      </c>
      <c r="R254" s="1" t="s">
        <v>487</v>
      </c>
      <c r="S254" s="1">
        <v>0</v>
      </c>
    </row>
    <row r="255" spans="4:19" x14ac:dyDescent="0.25">
      <c r="D255" s="1">
        <v>1</v>
      </c>
      <c r="E255" s="1" t="s">
        <v>459</v>
      </c>
      <c r="G255" s="1" t="s">
        <v>461</v>
      </c>
      <c r="H255" s="1" t="s">
        <v>466</v>
      </c>
      <c r="I255" s="1" t="s">
        <v>474</v>
      </c>
      <c r="J255" s="1" t="s">
        <v>481</v>
      </c>
      <c r="K255" s="1" t="s">
        <v>474</v>
      </c>
      <c r="L255" s="1">
        <v>75</v>
      </c>
      <c r="M255" s="1">
        <v>30</v>
      </c>
      <c r="N255" s="1">
        <v>4</v>
      </c>
      <c r="O255" s="1">
        <v>4</v>
      </c>
      <c r="Q255" s="10">
        <v>0</v>
      </c>
      <c r="R255" s="1" t="s">
        <v>487</v>
      </c>
      <c r="S255" s="1">
        <v>0</v>
      </c>
    </row>
    <row r="256" spans="4:19" x14ac:dyDescent="0.25">
      <c r="D256" s="1">
        <v>1</v>
      </c>
      <c r="E256" s="1" t="s">
        <v>459</v>
      </c>
      <c r="G256" s="1" t="s">
        <v>461</v>
      </c>
      <c r="H256" s="1" t="s">
        <v>466</v>
      </c>
      <c r="I256" s="1" t="s">
        <v>474</v>
      </c>
      <c r="J256" s="1" t="s">
        <v>481</v>
      </c>
      <c r="K256" s="1" t="s">
        <v>474</v>
      </c>
      <c r="L256" s="1">
        <v>75</v>
      </c>
      <c r="M256" s="1">
        <v>30</v>
      </c>
      <c r="N256" s="1">
        <v>4</v>
      </c>
      <c r="O256" s="1">
        <v>4</v>
      </c>
      <c r="Q256" s="10">
        <v>0</v>
      </c>
      <c r="R256" s="1" t="s">
        <v>487</v>
      </c>
      <c r="S256" s="1">
        <v>0</v>
      </c>
    </row>
    <row r="257" spans="4:19" x14ac:dyDescent="0.25">
      <c r="D257" s="1">
        <v>1</v>
      </c>
      <c r="E257" s="1" t="s">
        <v>459</v>
      </c>
      <c r="G257" s="1" t="s">
        <v>461</v>
      </c>
      <c r="H257" s="1" t="s">
        <v>466</v>
      </c>
      <c r="I257" s="1" t="s">
        <v>474</v>
      </c>
      <c r="J257" s="1" t="s">
        <v>481</v>
      </c>
      <c r="K257" s="1" t="s">
        <v>474</v>
      </c>
      <c r="L257" s="1">
        <v>75</v>
      </c>
      <c r="M257" s="1">
        <v>30</v>
      </c>
      <c r="N257" s="1">
        <v>4</v>
      </c>
      <c r="O257" s="1">
        <v>4</v>
      </c>
      <c r="Q257" s="10">
        <v>0</v>
      </c>
      <c r="R257" s="1" t="s">
        <v>487</v>
      </c>
      <c r="S257" s="1">
        <v>0</v>
      </c>
    </row>
    <row r="258" spans="4:19" x14ac:dyDescent="0.25">
      <c r="D258" s="1">
        <v>1</v>
      </c>
      <c r="E258" s="1" t="s">
        <v>459</v>
      </c>
      <c r="G258" s="1" t="s">
        <v>461</v>
      </c>
      <c r="H258" s="1" t="s">
        <v>466</v>
      </c>
      <c r="I258" s="1" t="s">
        <v>474</v>
      </c>
      <c r="J258" s="1" t="s">
        <v>481</v>
      </c>
      <c r="K258" s="1" t="s">
        <v>474</v>
      </c>
      <c r="L258" s="1">
        <v>75</v>
      </c>
      <c r="M258" s="1">
        <v>30</v>
      </c>
      <c r="N258" s="1">
        <v>4</v>
      </c>
      <c r="O258" s="1">
        <v>4</v>
      </c>
      <c r="Q258" s="10">
        <v>0</v>
      </c>
      <c r="R258" s="1" t="s">
        <v>487</v>
      </c>
      <c r="S258" s="1">
        <v>0</v>
      </c>
    </row>
    <row r="259" spans="4:19" x14ac:dyDescent="0.25">
      <c r="D259" s="1">
        <v>1</v>
      </c>
      <c r="E259" s="1" t="s">
        <v>459</v>
      </c>
      <c r="G259" s="1" t="s">
        <v>461</v>
      </c>
      <c r="H259" s="1" t="s">
        <v>466</v>
      </c>
      <c r="I259" s="1" t="s">
        <v>474</v>
      </c>
      <c r="J259" s="1" t="s">
        <v>481</v>
      </c>
      <c r="K259" s="1" t="s">
        <v>474</v>
      </c>
      <c r="L259" s="1">
        <v>75</v>
      </c>
      <c r="M259" s="1">
        <v>30</v>
      </c>
      <c r="N259" s="1">
        <v>4</v>
      </c>
      <c r="O259" s="1">
        <v>4</v>
      </c>
      <c r="Q259" s="10">
        <v>0</v>
      </c>
      <c r="R259" s="1" t="s">
        <v>487</v>
      </c>
      <c r="S259" s="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racings"/>
  <dimension ref="A1:J359"/>
  <sheetViews>
    <sheetView workbookViewId="0">
      <selection activeCell="J1" sqref="J1"/>
    </sheetView>
  </sheetViews>
  <sheetFormatPr defaultRowHeight="13.2" x14ac:dyDescent="0.25"/>
  <cols>
    <col min="1" max="1" width="16.5546875" customWidth="1"/>
    <col min="2" max="2" width="19.88671875" customWidth="1"/>
    <col min="3" max="3" width="9.88671875" style="25" bestFit="1" customWidth="1"/>
    <col min="4" max="4" width="14.33203125" style="25" bestFit="1" customWidth="1"/>
    <col min="5" max="5" width="14.44140625" style="22" bestFit="1" customWidth="1"/>
    <col min="6" max="6" width="10.6640625" style="22" bestFit="1" customWidth="1"/>
    <col min="7" max="7" width="9.5546875" style="1" customWidth="1"/>
    <col min="8" max="9" width="16.6640625" style="8" customWidth="1"/>
    <col min="10" max="10" width="12.44140625" style="12" customWidth="1"/>
    <col min="11" max="258" width="11.44140625" customWidth="1"/>
  </cols>
  <sheetData>
    <row r="1" spans="1:10" s="15" customFormat="1" x14ac:dyDescent="0.25">
      <c r="A1" s="19" t="s">
        <v>8</v>
      </c>
      <c r="B1" s="19" t="s">
        <v>27</v>
      </c>
      <c r="C1" s="26" t="s">
        <v>53</v>
      </c>
      <c r="D1" s="26" t="s">
        <v>137</v>
      </c>
      <c r="E1" s="23" t="s">
        <v>50</v>
      </c>
      <c r="F1" s="23" t="s">
        <v>51</v>
      </c>
      <c r="G1" s="17" t="s">
        <v>35</v>
      </c>
      <c r="H1" s="17" t="s">
        <v>40</v>
      </c>
      <c r="I1" s="17" t="s">
        <v>89</v>
      </c>
      <c r="J1" s="18" t="s">
        <v>181</v>
      </c>
    </row>
    <row r="2" spans="1:10" x14ac:dyDescent="0.25">
      <c r="A2" t="s">
        <v>488</v>
      </c>
      <c r="B2" t="s">
        <v>846</v>
      </c>
      <c r="C2" s="25">
        <v>2.8577463626861559</v>
      </c>
      <c r="D2" s="25">
        <v>3</v>
      </c>
      <c r="E2" s="22">
        <v>36</v>
      </c>
      <c r="F2" s="22">
        <v>73</v>
      </c>
      <c r="G2" s="1" t="s">
        <v>436</v>
      </c>
      <c r="H2" s="8" t="s">
        <v>439</v>
      </c>
      <c r="J2" s="12">
        <v>1117.52</v>
      </c>
    </row>
    <row r="3" spans="1:10" x14ac:dyDescent="0.25">
      <c r="A3" t="s">
        <v>489</v>
      </c>
      <c r="B3" t="s">
        <v>846</v>
      </c>
      <c r="C3" s="25">
        <v>3.0555956363677974</v>
      </c>
      <c r="D3" s="25">
        <v>3.6</v>
      </c>
      <c r="E3" s="22">
        <v>36</v>
      </c>
      <c r="F3" s="22">
        <v>73</v>
      </c>
      <c r="G3" s="1" t="s">
        <v>436</v>
      </c>
      <c r="H3" s="8" t="s">
        <v>439</v>
      </c>
      <c r="J3" s="12">
        <v>1117.52</v>
      </c>
    </row>
    <row r="4" spans="1:10" x14ac:dyDescent="0.25">
      <c r="A4" t="s">
        <v>490</v>
      </c>
      <c r="B4" t="s">
        <v>846</v>
      </c>
      <c r="C4" s="25">
        <v>3.5015177726745614</v>
      </c>
      <c r="D4" s="25">
        <v>3.6</v>
      </c>
      <c r="E4" s="22">
        <v>36</v>
      </c>
      <c r="F4" s="22">
        <v>73</v>
      </c>
      <c r="G4" s="1" t="s">
        <v>436</v>
      </c>
      <c r="H4" s="8" t="s">
        <v>439</v>
      </c>
      <c r="J4" s="12">
        <v>1117.52</v>
      </c>
    </row>
    <row r="5" spans="1:10" x14ac:dyDescent="0.25">
      <c r="A5" t="s">
        <v>491</v>
      </c>
      <c r="B5" t="s">
        <v>846</v>
      </c>
      <c r="C5" s="25">
        <v>3.5015177726745605</v>
      </c>
      <c r="D5" s="25">
        <v>3.6</v>
      </c>
      <c r="E5" s="22">
        <v>36</v>
      </c>
      <c r="F5" s="22">
        <v>73</v>
      </c>
      <c r="G5" s="1" t="s">
        <v>436</v>
      </c>
      <c r="H5" s="8" t="s">
        <v>439</v>
      </c>
      <c r="J5" s="12">
        <v>1117.52</v>
      </c>
    </row>
    <row r="6" spans="1:10" x14ac:dyDescent="0.25">
      <c r="A6" t="s">
        <v>492</v>
      </c>
      <c r="B6" t="s">
        <v>846</v>
      </c>
      <c r="C6" s="25">
        <v>2.7263894081115745</v>
      </c>
      <c r="D6" s="25">
        <v>3</v>
      </c>
      <c r="E6" s="22">
        <v>36</v>
      </c>
      <c r="F6" s="22">
        <v>73</v>
      </c>
      <c r="G6" s="1" t="s">
        <v>436</v>
      </c>
      <c r="H6" s="8" t="s">
        <v>439</v>
      </c>
      <c r="J6" s="12">
        <v>1117.52</v>
      </c>
    </row>
    <row r="7" spans="1:10" x14ac:dyDescent="0.25">
      <c r="A7" t="s">
        <v>493</v>
      </c>
      <c r="B7" t="s">
        <v>846</v>
      </c>
      <c r="C7" s="25">
        <v>2.7263894081115709</v>
      </c>
      <c r="D7" s="25">
        <v>3</v>
      </c>
      <c r="E7" s="22">
        <v>36</v>
      </c>
      <c r="F7" s="22">
        <v>73</v>
      </c>
      <c r="G7" s="1" t="s">
        <v>436</v>
      </c>
      <c r="H7" s="8" t="s">
        <v>439</v>
      </c>
      <c r="J7" s="12">
        <v>1117.52</v>
      </c>
    </row>
    <row r="8" spans="1:10" x14ac:dyDescent="0.25">
      <c r="A8" t="s">
        <v>494</v>
      </c>
      <c r="B8" t="s">
        <v>846</v>
      </c>
      <c r="C8" s="25">
        <v>2.879605054855348</v>
      </c>
      <c r="D8" s="25">
        <v>3</v>
      </c>
      <c r="E8" s="22">
        <v>36</v>
      </c>
      <c r="F8" s="22">
        <v>73</v>
      </c>
      <c r="G8" s="1" t="s">
        <v>436</v>
      </c>
      <c r="H8" s="8" t="s">
        <v>439</v>
      </c>
      <c r="J8" s="12">
        <v>1117.52</v>
      </c>
    </row>
    <row r="9" spans="1:10" x14ac:dyDescent="0.25">
      <c r="A9" t="s">
        <v>495</v>
      </c>
      <c r="B9" t="s">
        <v>846</v>
      </c>
      <c r="C9" s="25">
        <v>2.8796050548553476</v>
      </c>
      <c r="D9" s="25">
        <v>3</v>
      </c>
      <c r="E9" s="22">
        <v>36</v>
      </c>
      <c r="F9" s="22">
        <v>73</v>
      </c>
      <c r="G9" s="1" t="s">
        <v>436</v>
      </c>
      <c r="H9" s="8" t="s">
        <v>439</v>
      </c>
      <c r="J9" s="12">
        <v>1117.52</v>
      </c>
    </row>
    <row r="10" spans="1:10" x14ac:dyDescent="0.25">
      <c r="A10" t="s">
        <v>496</v>
      </c>
      <c r="B10" t="s">
        <v>847</v>
      </c>
      <c r="C10" s="25">
        <v>4.8097138404846191</v>
      </c>
      <c r="D10" s="25">
        <v>5.4</v>
      </c>
      <c r="E10" s="22">
        <v>36</v>
      </c>
      <c r="F10" s="22">
        <v>73</v>
      </c>
      <c r="G10" s="1" t="s">
        <v>436</v>
      </c>
      <c r="H10" s="8" t="s">
        <v>439</v>
      </c>
      <c r="J10" s="12">
        <v>1117.52</v>
      </c>
    </row>
    <row r="11" spans="1:10" x14ac:dyDescent="0.25">
      <c r="A11" t="s">
        <v>497</v>
      </c>
      <c r="B11" t="s">
        <v>847</v>
      </c>
      <c r="C11" s="25">
        <v>3.6662859916687016</v>
      </c>
      <c r="D11" s="25">
        <v>4.2</v>
      </c>
      <c r="E11" s="22">
        <v>36</v>
      </c>
      <c r="F11" s="22">
        <v>73</v>
      </c>
      <c r="G11" s="1" t="s">
        <v>436</v>
      </c>
      <c r="H11" s="8" t="s">
        <v>439</v>
      </c>
      <c r="J11" s="12">
        <v>1117.52</v>
      </c>
    </row>
    <row r="12" spans="1:10" x14ac:dyDescent="0.25">
      <c r="A12" t="s">
        <v>498</v>
      </c>
      <c r="B12" t="s">
        <v>847</v>
      </c>
      <c r="C12" s="25">
        <v>4.8860001564025879</v>
      </c>
      <c r="D12" s="25">
        <v>5.4</v>
      </c>
      <c r="E12" s="22">
        <v>36</v>
      </c>
      <c r="F12" s="22">
        <v>73</v>
      </c>
      <c r="G12" s="1" t="s">
        <v>436</v>
      </c>
      <c r="H12" s="8" t="s">
        <v>439</v>
      </c>
      <c r="J12" s="12">
        <v>1117.52</v>
      </c>
    </row>
    <row r="13" spans="1:10" x14ac:dyDescent="0.25">
      <c r="A13" t="s">
        <v>499</v>
      </c>
      <c r="B13" t="s">
        <v>847</v>
      </c>
      <c r="C13" s="25">
        <v>4.7192010879516602</v>
      </c>
      <c r="D13" s="25">
        <v>4.8</v>
      </c>
      <c r="E13" s="22">
        <v>36</v>
      </c>
      <c r="F13" s="22">
        <v>73</v>
      </c>
      <c r="G13" s="1" t="s">
        <v>436</v>
      </c>
      <c r="H13" s="8" t="s">
        <v>439</v>
      </c>
      <c r="J13" s="12">
        <v>1117.52</v>
      </c>
    </row>
    <row r="14" spans="1:10" x14ac:dyDescent="0.25">
      <c r="A14" t="s">
        <v>500</v>
      </c>
      <c r="B14" t="s">
        <v>847</v>
      </c>
      <c r="C14" s="25">
        <v>4.8192019462585449</v>
      </c>
      <c r="D14" s="25">
        <v>5.4</v>
      </c>
      <c r="E14" s="22">
        <v>36</v>
      </c>
      <c r="F14" s="22">
        <v>73</v>
      </c>
      <c r="G14" s="1" t="s">
        <v>436</v>
      </c>
      <c r="H14" s="8" t="s">
        <v>439</v>
      </c>
      <c r="J14" s="12">
        <v>1117.52</v>
      </c>
    </row>
    <row r="15" spans="1:10" x14ac:dyDescent="0.25">
      <c r="A15" t="s">
        <v>501</v>
      </c>
      <c r="B15" t="s">
        <v>847</v>
      </c>
      <c r="C15" s="25">
        <v>4.8192009925842285</v>
      </c>
      <c r="D15" s="25">
        <v>5.4</v>
      </c>
      <c r="E15" s="22">
        <v>36</v>
      </c>
      <c r="F15" s="22">
        <v>73</v>
      </c>
      <c r="G15" s="1" t="s">
        <v>436</v>
      </c>
      <c r="H15" s="8" t="s">
        <v>439</v>
      </c>
      <c r="J15" s="12">
        <v>1117.52</v>
      </c>
    </row>
    <row r="16" spans="1:10" x14ac:dyDescent="0.25">
      <c r="A16" t="s">
        <v>502</v>
      </c>
      <c r="B16" t="s">
        <v>847</v>
      </c>
      <c r="C16" s="25">
        <v>2.4275999069213867</v>
      </c>
      <c r="D16" s="25">
        <v>2.7</v>
      </c>
      <c r="E16" s="22">
        <v>36</v>
      </c>
      <c r="F16" s="22">
        <v>73</v>
      </c>
      <c r="G16" s="1" t="s">
        <v>436</v>
      </c>
      <c r="H16" s="8" t="s">
        <v>439</v>
      </c>
      <c r="J16" s="12">
        <v>1117.52</v>
      </c>
    </row>
    <row r="17" spans="1:10" x14ac:dyDescent="0.25">
      <c r="A17" t="s">
        <v>503</v>
      </c>
      <c r="B17" t="s">
        <v>847</v>
      </c>
      <c r="C17" s="25">
        <v>4.7192010879516602</v>
      </c>
      <c r="D17" s="25">
        <v>4.8</v>
      </c>
      <c r="E17" s="22">
        <v>36</v>
      </c>
      <c r="F17" s="22">
        <v>73</v>
      </c>
      <c r="G17" s="1" t="s">
        <v>436</v>
      </c>
      <c r="H17" s="8" t="s">
        <v>439</v>
      </c>
      <c r="J17" s="12">
        <v>1117.52</v>
      </c>
    </row>
    <row r="18" spans="1:10" x14ac:dyDescent="0.25">
      <c r="A18" t="s">
        <v>504</v>
      </c>
      <c r="B18" t="s">
        <v>847</v>
      </c>
      <c r="C18" s="25">
        <v>4.8192019462585449</v>
      </c>
      <c r="D18" s="25">
        <v>5.4</v>
      </c>
      <c r="E18" s="22">
        <v>36</v>
      </c>
      <c r="F18" s="22">
        <v>73</v>
      </c>
      <c r="G18" s="1" t="s">
        <v>436</v>
      </c>
      <c r="H18" s="8" t="s">
        <v>439</v>
      </c>
      <c r="J18" s="12">
        <v>1117.52</v>
      </c>
    </row>
    <row r="19" spans="1:10" x14ac:dyDescent="0.25">
      <c r="A19" t="s">
        <v>505</v>
      </c>
      <c r="B19" t="s">
        <v>847</v>
      </c>
      <c r="C19" s="25">
        <v>4.8192009925842285</v>
      </c>
      <c r="D19" s="25">
        <v>5.4</v>
      </c>
      <c r="E19" s="22">
        <v>36</v>
      </c>
      <c r="F19" s="22">
        <v>73</v>
      </c>
      <c r="G19" s="1" t="s">
        <v>436</v>
      </c>
      <c r="H19" s="8" t="s">
        <v>439</v>
      </c>
      <c r="J19" s="12">
        <v>1117.52</v>
      </c>
    </row>
    <row r="20" spans="1:10" x14ac:dyDescent="0.25">
      <c r="A20" t="s">
        <v>506</v>
      </c>
      <c r="B20" t="s">
        <v>847</v>
      </c>
      <c r="C20" s="25">
        <v>2.4275999069213867</v>
      </c>
      <c r="D20" s="25">
        <v>2.7</v>
      </c>
      <c r="E20" s="22">
        <v>36</v>
      </c>
      <c r="F20" s="22">
        <v>73</v>
      </c>
      <c r="G20" s="1" t="s">
        <v>436</v>
      </c>
      <c r="H20" s="8" t="s">
        <v>439</v>
      </c>
      <c r="J20" s="12">
        <v>1117.52</v>
      </c>
    </row>
    <row r="21" spans="1:10" x14ac:dyDescent="0.25">
      <c r="A21" t="s">
        <v>507</v>
      </c>
      <c r="B21" t="s">
        <v>847</v>
      </c>
      <c r="C21" s="25">
        <v>4.5240001678466797</v>
      </c>
      <c r="D21" s="25">
        <v>4.8</v>
      </c>
      <c r="E21" s="22">
        <v>36</v>
      </c>
      <c r="F21" s="22">
        <v>73</v>
      </c>
      <c r="G21" s="1" t="s">
        <v>436</v>
      </c>
      <c r="H21" s="8" t="s">
        <v>439</v>
      </c>
      <c r="J21" s="12">
        <v>1117.52</v>
      </c>
    </row>
    <row r="22" spans="1:10" x14ac:dyDescent="0.25">
      <c r="A22" t="s">
        <v>508</v>
      </c>
      <c r="B22" t="s">
        <v>847</v>
      </c>
      <c r="C22" s="25">
        <v>3.4519999027252197</v>
      </c>
      <c r="D22" s="25">
        <v>3.6</v>
      </c>
      <c r="E22" s="22">
        <v>36</v>
      </c>
      <c r="F22" s="22">
        <v>73</v>
      </c>
      <c r="G22" s="1" t="s">
        <v>436</v>
      </c>
      <c r="H22" s="8" t="s">
        <v>439</v>
      </c>
      <c r="J22" s="12">
        <v>1117.52</v>
      </c>
    </row>
    <row r="23" spans="1:10" x14ac:dyDescent="0.25">
      <c r="A23" t="s">
        <v>509</v>
      </c>
      <c r="B23" t="s">
        <v>847</v>
      </c>
      <c r="C23" s="25">
        <v>4.5240001678466797</v>
      </c>
      <c r="D23" s="25">
        <v>4.8</v>
      </c>
      <c r="E23" s="22">
        <v>36</v>
      </c>
      <c r="F23" s="22">
        <v>73</v>
      </c>
      <c r="G23" s="1" t="s">
        <v>436</v>
      </c>
      <c r="H23" s="8" t="s">
        <v>439</v>
      </c>
      <c r="J23" s="12">
        <v>1117.52</v>
      </c>
    </row>
    <row r="24" spans="1:10" x14ac:dyDescent="0.25">
      <c r="A24" t="s">
        <v>510</v>
      </c>
      <c r="B24" t="s">
        <v>847</v>
      </c>
      <c r="C24" s="25">
        <v>3.4519999027252197</v>
      </c>
      <c r="D24" s="25">
        <v>3.6</v>
      </c>
      <c r="E24" s="22">
        <v>36</v>
      </c>
      <c r="F24" s="22">
        <v>73</v>
      </c>
      <c r="G24" s="1" t="s">
        <v>436</v>
      </c>
      <c r="H24" s="8" t="s">
        <v>439</v>
      </c>
      <c r="J24" s="12">
        <v>1117.52</v>
      </c>
    </row>
    <row r="25" spans="1:10" x14ac:dyDescent="0.25">
      <c r="A25" t="s">
        <v>511</v>
      </c>
      <c r="B25" t="s">
        <v>847</v>
      </c>
      <c r="C25" s="25">
        <v>4.6586670875549316</v>
      </c>
      <c r="D25" s="25">
        <v>4.8</v>
      </c>
      <c r="E25" s="22">
        <v>36</v>
      </c>
      <c r="F25" s="22">
        <v>73</v>
      </c>
      <c r="G25" s="1" t="s">
        <v>436</v>
      </c>
      <c r="H25" s="8" t="s">
        <v>439</v>
      </c>
      <c r="J25" s="12">
        <v>1117.52</v>
      </c>
    </row>
    <row r="26" spans="1:10" x14ac:dyDescent="0.25">
      <c r="A26" t="s">
        <v>512</v>
      </c>
      <c r="B26" t="s">
        <v>847</v>
      </c>
      <c r="C26" s="25">
        <v>2.4473330974578857</v>
      </c>
      <c r="D26" s="25">
        <v>2.7</v>
      </c>
      <c r="E26" s="22">
        <v>36</v>
      </c>
      <c r="F26" s="22">
        <v>73</v>
      </c>
      <c r="G26" s="1" t="s">
        <v>436</v>
      </c>
      <c r="H26" s="8" t="s">
        <v>439</v>
      </c>
      <c r="J26" s="12">
        <v>1117.52</v>
      </c>
    </row>
    <row r="27" spans="1:10" x14ac:dyDescent="0.25">
      <c r="A27" t="s">
        <v>513</v>
      </c>
      <c r="B27" t="s">
        <v>847</v>
      </c>
      <c r="C27" s="25">
        <v>4.6586670875549316</v>
      </c>
      <c r="D27" s="25">
        <v>4.8</v>
      </c>
      <c r="E27" s="22">
        <v>36</v>
      </c>
      <c r="F27" s="22">
        <v>73</v>
      </c>
      <c r="G27" s="1" t="s">
        <v>436</v>
      </c>
      <c r="H27" s="8" t="s">
        <v>439</v>
      </c>
      <c r="J27" s="12">
        <v>1117.52</v>
      </c>
    </row>
    <row r="28" spans="1:10" x14ac:dyDescent="0.25">
      <c r="A28" t="s">
        <v>514</v>
      </c>
      <c r="B28" t="s">
        <v>847</v>
      </c>
      <c r="C28" s="25">
        <v>2.4473330974578857</v>
      </c>
      <c r="D28" s="25">
        <v>2.7</v>
      </c>
      <c r="E28" s="22">
        <v>36</v>
      </c>
      <c r="F28" s="22">
        <v>73</v>
      </c>
      <c r="G28" s="1" t="s">
        <v>436</v>
      </c>
      <c r="H28" s="8" t="s">
        <v>439</v>
      </c>
      <c r="J28" s="12">
        <v>1117.52</v>
      </c>
    </row>
    <row r="29" spans="1:10" x14ac:dyDescent="0.25">
      <c r="A29" t="s">
        <v>515</v>
      </c>
      <c r="B29" t="s">
        <v>848</v>
      </c>
      <c r="C29" s="25">
        <v>4.6432385444641122</v>
      </c>
      <c r="D29" s="25">
        <v>4.8</v>
      </c>
      <c r="E29" s="22">
        <v>36</v>
      </c>
      <c r="F29" s="22">
        <v>73</v>
      </c>
      <c r="G29" s="1" t="s">
        <v>436</v>
      </c>
      <c r="H29" s="8" t="s">
        <v>439</v>
      </c>
      <c r="J29" s="12">
        <v>1117.52</v>
      </c>
    </row>
    <row r="30" spans="1:10" x14ac:dyDescent="0.25">
      <c r="A30" t="s">
        <v>516</v>
      </c>
      <c r="B30" t="s">
        <v>848</v>
      </c>
      <c r="C30" s="25">
        <v>4.6789503097534197</v>
      </c>
      <c r="D30" s="25">
        <v>4.8</v>
      </c>
      <c r="E30" s="22">
        <v>36</v>
      </c>
      <c r="F30" s="22">
        <v>73</v>
      </c>
      <c r="G30" s="1" t="s">
        <v>436</v>
      </c>
      <c r="H30" s="8" t="s">
        <v>439</v>
      </c>
      <c r="J30" s="12">
        <v>1117.52</v>
      </c>
    </row>
    <row r="31" spans="1:10" x14ac:dyDescent="0.25">
      <c r="A31" t="s">
        <v>517</v>
      </c>
      <c r="B31" t="s">
        <v>848</v>
      </c>
      <c r="C31" s="25">
        <v>1.3860262632369984</v>
      </c>
      <c r="D31" s="25">
        <v>1.5</v>
      </c>
      <c r="E31" s="22">
        <v>36</v>
      </c>
      <c r="F31" s="22">
        <v>73</v>
      </c>
      <c r="G31" s="1" t="s">
        <v>436</v>
      </c>
      <c r="H31" s="8" t="s">
        <v>439</v>
      </c>
      <c r="J31" s="12">
        <v>1117.52</v>
      </c>
    </row>
    <row r="32" spans="1:10" x14ac:dyDescent="0.25">
      <c r="A32" t="s">
        <v>518</v>
      </c>
      <c r="B32" t="s">
        <v>848</v>
      </c>
      <c r="C32" s="25">
        <v>4.6432633399963388</v>
      </c>
      <c r="D32" s="25">
        <v>4.8</v>
      </c>
      <c r="E32" s="22">
        <v>36</v>
      </c>
      <c r="F32" s="22">
        <v>73</v>
      </c>
      <c r="G32" s="1" t="s">
        <v>436</v>
      </c>
      <c r="H32" s="8" t="s">
        <v>439</v>
      </c>
      <c r="J32" s="12">
        <v>1117.52</v>
      </c>
    </row>
    <row r="33" spans="1:10" x14ac:dyDescent="0.25">
      <c r="A33" t="s">
        <v>519</v>
      </c>
      <c r="B33" t="s">
        <v>848</v>
      </c>
      <c r="C33" s="25">
        <v>4.6789746284484854</v>
      </c>
      <c r="D33" s="25">
        <v>4.8</v>
      </c>
      <c r="E33" s="22">
        <v>36</v>
      </c>
      <c r="F33" s="22">
        <v>73</v>
      </c>
      <c r="G33" s="1" t="s">
        <v>436</v>
      </c>
      <c r="H33" s="8" t="s">
        <v>439</v>
      </c>
      <c r="J33" s="12">
        <v>1117.52</v>
      </c>
    </row>
    <row r="34" spans="1:10" x14ac:dyDescent="0.25">
      <c r="A34" t="s">
        <v>520</v>
      </c>
      <c r="B34" t="s">
        <v>848</v>
      </c>
      <c r="C34" s="25">
        <v>1.3860331773757923</v>
      </c>
      <c r="D34" s="25">
        <v>1.5</v>
      </c>
      <c r="E34" s="22">
        <v>36</v>
      </c>
      <c r="F34" s="22">
        <v>73</v>
      </c>
      <c r="G34" s="1" t="s">
        <v>436</v>
      </c>
      <c r="H34" s="8" t="s">
        <v>439</v>
      </c>
      <c r="J34" s="12">
        <v>1117.52</v>
      </c>
    </row>
    <row r="35" spans="1:10" x14ac:dyDescent="0.25">
      <c r="A35" t="s">
        <v>521</v>
      </c>
      <c r="B35" t="s">
        <v>848</v>
      </c>
      <c r="C35" s="25">
        <v>4.6432924270629892</v>
      </c>
      <c r="D35" s="25">
        <v>4.8</v>
      </c>
      <c r="E35" s="22">
        <v>36</v>
      </c>
      <c r="F35" s="22">
        <v>73</v>
      </c>
      <c r="G35" s="1" t="s">
        <v>436</v>
      </c>
      <c r="H35" s="8" t="s">
        <v>439</v>
      </c>
      <c r="J35" s="12">
        <v>1117.52</v>
      </c>
    </row>
    <row r="36" spans="1:10" x14ac:dyDescent="0.25">
      <c r="A36" t="s">
        <v>522</v>
      </c>
      <c r="B36" t="s">
        <v>848</v>
      </c>
      <c r="C36" s="25">
        <v>4.6790027618408212</v>
      </c>
      <c r="D36" s="25">
        <v>4.8</v>
      </c>
      <c r="E36" s="22">
        <v>36</v>
      </c>
      <c r="F36" s="22">
        <v>73</v>
      </c>
      <c r="G36" s="1" t="s">
        <v>436</v>
      </c>
      <c r="H36" s="8" t="s">
        <v>439</v>
      </c>
      <c r="J36" s="12">
        <v>1117.52</v>
      </c>
    </row>
    <row r="37" spans="1:10" x14ac:dyDescent="0.25">
      <c r="A37" t="s">
        <v>523</v>
      </c>
      <c r="B37" t="s">
        <v>848</v>
      </c>
      <c r="C37" s="25">
        <v>1.386041164398192</v>
      </c>
      <c r="D37" s="25">
        <v>1.5</v>
      </c>
      <c r="E37" s="22">
        <v>36</v>
      </c>
      <c r="F37" s="22">
        <v>73</v>
      </c>
      <c r="G37" s="1" t="s">
        <v>436</v>
      </c>
      <c r="H37" s="8" t="s">
        <v>439</v>
      </c>
      <c r="J37" s="12">
        <v>1117.52</v>
      </c>
    </row>
    <row r="38" spans="1:10" x14ac:dyDescent="0.25">
      <c r="A38" t="s">
        <v>524</v>
      </c>
      <c r="B38" t="s">
        <v>848</v>
      </c>
      <c r="C38" s="25">
        <v>4.6433258056640625</v>
      </c>
      <c r="D38" s="25">
        <v>4.8</v>
      </c>
      <c r="E38" s="22">
        <v>36</v>
      </c>
      <c r="F38" s="22">
        <v>73</v>
      </c>
      <c r="G38" s="1" t="s">
        <v>436</v>
      </c>
      <c r="H38" s="8" t="s">
        <v>439</v>
      </c>
      <c r="J38" s="12">
        <v>1117.52</v>
      </c>
    </row>
    <row r="39" spans="1:10" x14ac:dyDescent="0.25">
      <c r="A39" t="s">
        <v>525</v>
      </c>
      <c r="B39" t="s">
        <v>848</v>
      </c>
      <c r="C39" s="25">
        <v>4.6790351867675772</v>
      </c>
      <c r="D39" s="25">
        <v>4.8</v>
      </c>
      <c r="E39" s="22">
        <v>36</v>
      </c>
      <c r="F39" s="22">
        <v>73</v>
      </c>
      <c r="G39" s="1" t="s">
        <v>436</v>
      </c>
      <c r="H39" s="8" t="s">
        <v>439</v>
      </c>
      <c r="J39" s="12">
        <v>1117.52</v>
      </c>
    </row>
    <row r="40" spans="1:10" x14ac:dyDescent="0.25">
      <c r="A40" t="s">
        <v>526</v>
      </c>
      <c r="B40" t="s">
        <v>848</v>
      </c>
      <c r="C40" s="25">
        <v>1.3860502243041983</v>
      </c>
      <c r="D40" s="25">
        <v>1.5</v>
      </c>
      <c r="E40" s="22">
        <v>36</v>
      </c>
      <c r="F40" s="22">
        <v>73</v>
      </c>
      <c r="G40" s="1" t="s">
        <v>436</v>
      </c>
      <c r="H40" s="8" t="s">
        <v>439</v>
      </c>
      <c r="J40" s="12">
        <v>1117.52</v>
      </c>
    </row>
    <row r="41" spans="1:10" x14ac:dyDescent="0.25">
      <c r="A41" t="s">
        <v>527</v>
      </c>
      <c r="B41" t="s">
        <v>848</v>
      </c>
      <c r="C41" s="25">
        <v>4.940000057220459</v>
      </c>
      <c r="D41" s="25">
        <v>5.4</v>
      </c>
      <c r="E41" s="22">
        <v>36</v>
      </c>
      <c r="F41" s="22">
        <v>73</v>
      </c>
      <c r="G41" s="1" t="s">
        <v>436</v>
      </c>
      <c r="H41" s="8" t="s">
        <v>439</v>
      </c>
      <c r="J41" s="12">
        <v>1117.52</v>
      </c>
    </row>
    <row r="42" spans="1:10" x14ac:dyDescent="0.25">
      <c r="A42" t="s">
        <v>528</v>
      </c>
      <c r="B42" t="s">
        <v>848</v>
      </c>
      <c r="C42" s="25">
        <v>4.940000057220459</v>
      </c>
      <c r="D42" s="25">
        <v>5.4</v>
      </c>
      <c r="E42" s="22">
        <v>36</v>
      </c>
      <c r="F42" s="22">
        <v>73</v>
      </c>
      <c r="G42" s="1" t="s">
        <v>436</v>
      </c>
      <c r="H42" s="8" t="s">
        <v>439</v>
      </c>
      <c r="J42" s="12">
        <v>1117.52</v>
      </c>
    </row>
    <row r="43" spans="1:10" x14ac:dyDescent="0.25">
      <c r="A43" t="s">
        <v>529</v>
      </c>
      <c r="B43" t="s">
        <v>848</v>
      </c>
      <c r="C43" s="25">
        <v>4.9899997711181641</v>
      </c>
      <c r="D43" s="25">
        <v>5.4</v>
      </c>
      <c r="E43" s="22">
        <v>36</v>
      </c>
      <c r="F43" s="22">
        <v>73</v>
      </c>
      <c r="G43" s="1" t="s">
        <v>436</v>
      </c>
      <c r="H43" s="8" t="s">
        <v>439</v>
      </c>
      <c r="J43" s="12">
        <v>1117.52</v>
      </c>
    </row>
    <row r="44" spans="1:10" x14ac:dyDescent="0.25">
      <c r="A44" t="s">
        <v>530</v>
      </c>
      <c r="B44" t="s">
        <v>848</v>
      </c>
      <c r="C44" s="25">
        <v>4.8097138404846191</v>
      </c>
      <c r="D44" s="25">
        <v>5.4</v>
      </c>
      <c r="E44" s="22">
        <v>36</v>
      </c>
      <c r="F44" s="22">
        <v>73</v>
      </c>
      <c r="G44" s="1" t="s">
        <v>436</v>
      </c>
      <c r="H44" s="8" t="s">
        <v>439</v>
      </c>
      <c r="J44" s="12">
        <v>1117.52</v>
      </c>
    </row>
    <row r="45" spans="1:10" x14ac:dyDescent="0.25">
      <c r="A45" t="s">
        <v>531</v>
      </c>
      <c r="B45" t="s">
        <v>848</v>
      </c>
      <c r="C45" s="25">
        <v>3.6662859916687016</v>
      </c>
      <c r="D45" s="25">
        <v>4.2</v>
      </c>
      <c r="E45" s="22">
        <v>36</v>
      </c>
      <c r="F45" s="22">
        <v>73</v>
      </c>
      <c r="G45" s="1" t="s">
        <v>436</v>
      </c>
      <c r="H45" s="8" t="s">
        <v>439</v>
      </c>
      <c r="J45" s="12">
        <v>1117.52</v>
      </c>
    </row>
    <row r="46" spans="1:10" x14ac:dyDescent="0.25">
      <c r="A46" t="s">
        <v>532</v>
      </c>
      <c r="B46" t="s">
        <v>848</v>
      </c>
      <c r="C46" s="25">
        <v>4.8097138404846191</v>
      </c>
      <c r="D46" s="25">
        <v>5.4</v>
      </c>
      <c r="E46" s="22">
        <v>36</v>
      </c>
      <c r="F46" s="22">
        <v>73</v>
      </c>
      <c r="G46" s="1" t="s">
        <v>436</v>
      </c>
      <c r="H46" s="8" t="s">
        <v>439</v>
      </c>
      <c r="J46" s="12">
        <v>1117.52</v>
      </c>
    </row>
    <row r="47" spans="1:10" x14ac:dyDescent="0.25">
      <c r="A47" t="s">
        <v>533</v>
      </c>
      <c r="B47" t="s">
        <v>848</v>
      </c>
      <c r="C47" s="25">
        <v>3.6662859916687016</v>
      </c>
      <c r="D47" s="25">
        <v>4.2</v>
      </c>
      <c r="E47" s="22">
        <v>36</v>
      </c>
      <c r="F47" s="22">
        <v>73</v>
      </c>
      <c r="G47" s="1" t="s">
        <v>436</v>
      </c>
      <c r="H47" s="8" t="s">
        <v>439</v>
      </c>
      <c r="J47" s="12">
        <v>1117.52</v>
      </c>
    </row>
    <row r="48" spans="1:10" x14ac:dyDescent="0.25">
      <c r="A48" t="s">
        <v>534</v>
      </c>
      <c r="B48" t="s">
        <v>848</v>
      </c>
      <c r="C48" s="25">
        <v>4.8860001564025879</v>
      </c>
      <c r="D48" s="25">
        <v>5.4</v>
      </c>
      <c r="E48" s="22">
        <v>36</v>
      </c>
      <c r="F48" s="22">
        <v>73</v>
      </c>
      <c r="G48" s="1" t="s">
        <v>436</v>
      </c>
      <c r="H48" s="8" t="s">
        <v>439</v>
      </c>
      <c r="J48" s="12">
        <v>1117.52</v>
      </c>
    </row>
    <row r="49" spans="1:10" x14ac:dyDescent="0.25">
      <c r="A49" t="s">
        <v>535</v>
      </c>
      <c r="B49" t="s">
        <v>848</v>
      </c>
      <c r="C49" s="25">
        <v>4.8860001564025879</v>
      </c>
      <c r="D49" s="25">
        <v>5.4</v>
      </c>
      <c r="E49" s="22">
        <v>36</v>
      </c>
      <c r="F49" s="22">
        <v>73</v>
      </c>
      <c r="G49" s="1" t="s">
        <v>436</v>
      </c>
      <c r="H49" s="8" t="s">
        <v>439</v>
      </c>
      <c r="J49" s="12">
        <v>1117.52</v>
      </c>
    </row>
    <row r="50" spans="1:10" x14ac:dyDescent="0.25">
      <c r="A50" t="s">
        <v>536</v>
      </c>
      <c r="B50" t="s">
        <v>848</v>
      </c>
      <c r="C50" s="25">
        <v>4.7192010879516602</v>
      </c>
      <c r="D50" s="25">
        <v>4.8</v>
      </c>
      <c r="E50" s="22">
        <v>36</v>
      </c>
      <c r="F50" s="22">
        <v>73</v>
      </c>
      <c r="G50" s="1" t="s">
        <v>436</v>
      </c>
      <c r="H50" s="8" t="s">
        <v>439</v>
      </c>
      <c r="J50" s="12">
        <v>1117.52</v>
      </c>
    </row>
    <row r="51" spans="1:10" x14ac:dyDescent="0.25">
      <c r="A51" t="s">
        <v>537</v>
      </c>
      <c r="B51" t="s">
        <v>848</v>
      </c>
      <c r="C51" s="25">
        <v>4.8192019462585449</v>
      </c>
      <c r="D51" s="25">
        <v>5.4</v>
      </c>
      <c r="E51" s="22">
        <v>36</v>
      </c>
      <c r="F51" s="22">
        <v>73</v>
      </c>
      <c r="G51" s="1" t="s">
        <v>436</v>
      </c>
      <c r="H51" s="8" t="s">
        <v>439</v>
      </c>
      <c r="J51" s="12">
        <v>1117.52</v>
      </c>
    </row>
    <row r="52" spans="1:10" x14ac:dyDescent="0.25">
      <c r="A52" t="s">
        <v>538</v>
      </c>
      <c r="B52" t="s">
        <v>848</v>
      </c>
      <c r="C52" s="25">
        <v>4.8192009925842285</v>
      </c>
      <c r="D52" s="25">
        <v>5.4</v>
      </c>
      <c r="E52" s="22">
        <v>36</v>
      </c>
      <c r="F52" s="22">
        <v>73</v>
      </c>
      <c r="G52" s="1" t="s">
        <v>436</v>
      </c>
      <c r="H52" s="8" t="s">
        <v>439</v>
      </c>
      <c r="J52" s="12">
        <v>1117.52</v>
      </c>
    </row>
    <row r="53" spans="1:10" x14ac:dyDescent="0.25">
      <c r="A53" t="s">
        <v>539</v>
      </c>
      <c r="B53" t="s">
        <v>848</v>
      </c>
      <c r="C53" s="25">
        <v>3.6204009056091309</v>
      </c>
      <c r="D53" s="25">
        <v>4.2</v>
      </c>
      <c r="E53" s="22">
        <v>36</v>
      </c>
      <c r="F53" s="22">
        <v>73</v>
      </c>
      <c r="G53" s="1" t="s">
        <v>436</v>
      </c>
      <c r="H53" s="8" t="s">
        <v>439</v>
      </c>
      <c r="J53" s="12">
        <v>1117.52</v>
      </c>
    </row>
    <row r="54" spans="1:10" x14ac:dyDescent="0.25">
      <c r="A54" t="s">
        <v>540</v>
      </c>
      <c r="B54" t="s">
        <v>848</v>
      </c>
      <c r="C54" s="25">
        <v>4.7192010879516602</v>
      </c>
      <c r="D54" s="25">
        <v>4.8</v>
      </c>
      <c r="E54" s="22">
        <v>36</v>
      </c>
      <c r="F54" s="22">
        <v>73</v>
      </c>
      <c r="G54" s="1" t="s">
        <v>436</v>
      </c>
      <c r="H54" s="8" t="s">
        <v>439</v>
      </c>
      <c r="J54" s="12">
        <v>1117.52</v>
      </c>
    </row>
    <row r="55" spans="1:10" x14ac:dyDescent="0.25">
      <c r="A55" t="s">
        <v>541</v>
      </c>
      <c r="B55" t="s">
        <v>848</v>
      </c>
      <c r="C55" s="25">
        <v>4.8192019462585449</v>
      </c>
      <c r="D55" s="25">
        <v>5.4</v>
      </c>
      <c r="E55" s="22">
        <v>36</v>
      </c>
      <c r="F55" s="22">
        <v>73</v>
      </c>
      <c r="G55" s="1" t="s">
        <v>436</v>
      </c>
      <c r="H55" s="8" t="s">
        <v>439</v>
      </c>
      <c r="J55" s="12">
        <v>1117.52</v>
      </c>
    </row>
    <row r="56" spans="1:10" x14ac:dyDescent="0.25">
      <c r="A56" t="s">
        <v>542</v>
      </c>
      <c r="B56" t="s">
        <v>848</v>
      </c>
      <c r="C56" s="25">
        <v>4.8192009925842285</v>
      </c>
      <c r="D56" s="25">
        <v>5.4</v>
      </c>
      <c r="E56" s="22">
        <v>36</v>
      </c>
      <c r="F56" s="22">
        <v>73</v>
      </c>
      <c r="G56" s="1" t="s">
        <v>436</v>
      </c>
      <c r="H56" s="8" t="s">
        <v>439</v>
      </c>
      <c r="J56" s="12">
        <v>1117.52</v>
      </c>
    </row>
    <row r="57" spans="1:10" x14ac:dyDescent="0.25">
      <c r="A57" t="s">
        <v>543</v>
      </c>
      <c r="B57" t="s">
        <v>848</v>
      </c>
      <c r="C57" s="25">
        <v>3.6204009056091309</v>
      </c>
      <c r="D57" s="25">
        <v>4.2</v>
      </c>
      <c r="E57" s="22">
        <v>36</v>
      </c>
      <c r="F57" s="22">
        <v>73</v>
      </c>
      <c r="G57" s="1" t="s">
        <v>436</v>
      </c>
      <c r="H57" s="8" t="s">
        <v>439</v>
      </c>
      <c r="J57" s="12">
        <v>1117.52</v>
      </c>
    </row>
    <row r="58" spans="1:10" x14ac:dyDescent="0.25">
      <c r="A58" t="s">
        <v>544</v>
      </c>
      <c r="B58" t="s">
        <v>848</v>
      </c>
      <c r="C58" s="25">
        <v>4.7192010879516602</v>
      </c>
      <c r="D58" s="25">
        <v>4.8</v>
      </c>
      <c r="E58" s="22">
        <v>36</v>
      </c>
      <c r="F58" s="22">
        <v>73</v>
      </c>
      <c r="G58" s="1" t="s">
        <v>436</v>
      </c>
      <c r="H58" s="8" t="s">
        <v>439</v>
      </c>
      <c r="J58" s="12">
        <v>1117.52</v>
      </c>
    </row>
    <row r="59" spans="1:10" x14ac:dyDescent="0.25">
      <c r="A59" t="s">
        <v>545</v>
      </c>
      <c r="B59" t="s">
        <v>848</v>
      </c>
      <c r="C59" s="25">
        <v>4.8192019462585449</v>
      </c>
      <c r="D59" s="25">
        <v>5.4</v>
      </c>
      <c r="E59" s="22">
        <v>36</v>
      </c>
      <c r="F59" s="22">
        <v>73</v>
      </c>
      <c r="G59" s="1" t="s">
        <v>436</v>
      </c>
      <c r="H59" s="8" t="s">
        <v>439</v>
      </c>
      <c r="J59" s="12">
        <v>1117.52</v>
      </c>
    </row>
    <row r="60" spans="1:10" x14ac:dyDescent="0.25">
      <c r="A60" t="s">
        <v>546</v>
      </c>
      <c r="B60" t="s">
        <v>848</v>
      </c>
      <c r="C60" s="25">
        <v>4.8192009925842285</v>
      </c>
      <c r="D60" s="25">
        <v>5.4</v>
      </c>
      <c r="E60" s="22">
        <v>36</v>
      </c>
      <c r="F60" s="22">
        <v>73</v>
      </c>
      <c r="G60" s="1" t="s">
        <v>436</v>
      </c>
      <c r="H60" s="8" t="s">
        <v>439</v>
      </c>
      <c r="J60" s="12">
        <v>1117.52</v>
      </c>
    </row>
    <row r="61" spans="1:10" x14ac:dyDescent="0.25">
      <c r="A61" t="s">
        <v>547</v>
      </c>
      <c r="B61" t="s">
        <v>848</v>
      </c>
      <c r="C61" s="25">
        <v>3.6204009056091309</v>
      </c>
      <c r="D61" s="25">
        <v>4.2</v>
      </c>
      <c r="E61" s="22">
        <v>36</v>
      </c>
      <c r="F61" s="22">
        <v>73</v>
      </c>
      <c r="G61" s="1" t="s">
        <v>436</v>
      </c>
      <c r="H61" s="8" t="s">
        <v>439</v>
      </c>
      <c r="J61" s="12">
        <v>1117.52</v>
      </c>
    </row>
    <row r="62" spans="1:10" x14ac:dyDescent="0.25">
      <c r="A62" t="s">
        <v>548</v>
      </c>
      <c r="B62" t="s">
        <v>848</v>
      </c>
      <c r="C62" s="25">
        <v>4.7192010879516602</v>
      </c>
      <c r="D62" s="25">
        <v>4.8</v>
      </c>
      <c r="E62" s="22">
        <v>36</v>
      </c>
      <c r="F62" s="22">
        <v>73</v>
      </c>
      <c r="G62" s="1" t="s">
        <v>436</v>
      </c>
      <c r="H62" s="8" t="s">
        <v>439</v>
      </c>
      <c r="J62" s="12">
        <v>1117.52</v>
      </c>
    </row>
    <row r="63" spans="1:10" x14ac:dyDescent="0.25">
      <c r="A63" t="s">
        <v>549</v>
      </c>
      <c r="B63" t="s">
        <v>848</v>
      </c>
      <c r="C63" s="25">
        <v>4.8192019462585449</v>
      </c>
      <c r="D63" s="25">
        <v>5.4</v>
      </c>
      <c r="E63" s="22">
        <v>36</v>
      </c>
      <c r="F63" s="22">
        <v>73</v>
      </c>
      <c r="G63" s="1" t="s">
        <v>436</v>
      </c>
      <c r="H63" s="8" t="s">
        <v>439</v>
      </c>
      <c r="J63" s="12">
        <v>1117.52</v>
      </c>
    </row>
    <row r="64" spans="1:10" x14ac:dyDescent="0.25">
      <c r="A64" t="s">
        <v>550</v>
      </c>
      <c r="B64" t="s">
        <v>848</v>
      </c>
      <c r="C64" s="25">
        <v>4.8192009925842285</v>
      </c>
      <c r="D64" s="25">
        <v>5.4</v>
      </c>
      <c r="E64" s="22">
        <v>36</v>
      </c>
      <c r="F64" s="22">
        <v>73</v>
      </c>
      <c r="G64" s="1" t="s">
        <v>436</v>
      </c>
      <c r="H64" s="8" t="s">
        <v>439</v>
      </c>
      <c r="J64" s="12">
        <v>1117.52</v>
      </c>
    </row>
    <row r="65" spans="1:10" x14ac:dyDescent="0.25">
      <c r="A65" t="s">
        <v>551</v>
      </c>
      <c r="B65" t="s">
        <v>848</v>
      </c>
      <c r="C65" s="25">
        <v>3.6204009056091309</v>
      </c>
      <c r="D65" s="25">
        <v>4.2</v>
      </c>
      <c r="E65" s="22">
        <v>36</v>
      </c>
      <c r="F65" s="22">
        <v>73</v>
      </c>
      <c r="G65" s="1" t="s">
        <v>436</v>
      </c>
      <c r="H65" s="8" t="s">
        <v>439</v>
      </c>
      <c r="J65" s="12">
        <v>1117.52</v>
      </c>
    </row>
    <row r="66" spans="1:10" x14ac:dyDescent="0.25">
      <c r="A66" t="s">
        <v>552</v>
      </c>
      <c r="B66" t="s">
        <v>848</v>
      </c>
      <c r="C66" s="25">
        <v>4.7192010879516602</v>
      </c>
      <c r="D66" s="25">
        <v>4.8</v>
      </c>
      <c r="E66" s="22">
        <v>36</v>
      </c>
      <c r="F66" s="22">
        <v>73</v>
      </c>
      <c r="G66" s="1" t="s">
        <v>436</v>
      </c>
      <c r="H66" s="8" t="s">
        <v>439</v>
      </c>
      <c r="J66" s="12">
        <v>1117.52</v>
      </c>
    </row>
    <row r="67" spans="1:10" x14ac:dyDescent="0.25">
      <c r="A67" t="s">
        <v>553</v>
      </c>
      <c r="B67" t="s">
        <v>848</v>
      </c>
      <c r="C67" s="25">
        <v>4.8192019462585449</v>
      </c>
      <c r="D67" s="25">
        <v>5.4</v>
      </c>
      <c r="E67" s="22">
        <v>36</v>
      </c>
      <c r="F67" s="22">
        <v>73</v>
      </c>
      <c r="G67" s="1" t="s">
        <v>436</v>
      </c>
      <c r="H67" s="8" t="s">
        <v>439</v>
      </c>
      <c r="J67" s="12">
        <v>1117.52</v>
      </c>
    </row>
    <row r="68" spans="1:10" x14ac:dyDescent="0.25">
      <c r="A68" t="s">
        <v>554</v>
      </c>
      <c r="B68" t="s">
        <v>848</v>
      </c>
      <c r="C68" s="25">
        <v>4.8192009925842285</v>
      </c>
      <c r="D68" s="25">
        <v>5.4</v>
      </c>
      <c r="E68" s="22">
        <v>36</v>
      </c>
      <c r="F68" s="22">
        <v>73</v>
      </c>
      <c r="G68" s="1" t="s">
        <v>436</v>
      </c>
      <c r="H68" s="8" t="s">
        <v>439</v>
      </c>
      <c r="J68" s="12">
        <v>1117.52</v>
      </c>
    </row>
    <row r="69" spans="1:10" x14ac:dyDescent="0.25">
      <c r="A69" t="s">
        <v>555</v>
      </c>
      <c r="B69" t="s">
        <v>848</v>
      </c>
      <c r="C69" s="25">
        <v>3.6204009056091309</v>
      </c>
      <c r="D69" s="25">
        <v>4.2</v>
      </c>
      <c r="E69" s="22">
        <v>36</v>
      </c>
      <c r="F69" s="22">
        <v>73</v>
      </c>
      <c r="G69" s="1" t="s">
        <v>436</v>
      </c>
      <c r="H69" s="8" t="s">
        <v>439</v>
      </c>
      <c r="J69" s="12">
        <v>1117.52</v>
      </c>
    </row>
    <row r="70" spans="1:10" x14ac:dyDescent="0.25">
      <c r="A70" t="s">
        <v>556</v>
      </c>
      <c r="B70" t="s">
        <v>848</v>
      </c>
      <c r="C70" s="25">
        <v>4.2199997901916504</v>
      </c>
      <c r="D70" s="25">
        <v>4.8</v>
      </c>
      <c r="E70" s="22">
        <v>36</v>
      </c>
      <c r="F70" s="22">
        <v>73</v>
      </c>
      <c r="G70" s="1" t="s">
        <v>436</v>
      </c>
      <c r="H70" s="8" t="s">
        <v>439</v>
      </c>
      <c r="J70" s="12">
        <v>1117.52</v>
      </c>
    </row>
    <row r="71" spans="1:10" x14ac:dyDescent="0.25">
      <c r="A71" t="s">
        <v>557</v>
      </c>
      <c r="B71" t="s">
        <v>848</v>
      </c>
      <c r="C71" s="25">
        <v>2.5</v>
      </c>
      <c r="D71" s="25">
        <v>2.7</v>
      </c>
      <c r="E71" s="22">
        <v>36</v>
      </c>
      <c r="F71" s="22">
        <v>73</v>
      </c>
      <c r="G71" s="1" t="s">
        <v>436</v>
      </c>
      <c r="H71" s="8" t="s">
        <v>439</v>
      </c>
      <c r="J71" s="12">
        <v>1117.52</v>
      </c>
    </row>
    <row r="72" spans="1:10" x14ac:dyDescent="0.25">
      <c r="A72" t="s">
        <v>558</v>
      </c>
      <c r="B72" t="s">
        <v>848</v>
      </c>
      <c r="C72" s="25">
        <v>4.669499874114992</v>
      </c>
      <c r="D72" s="25">
        <v>4.8</v>
      </c>
      <c r="E72" s="22">
        <v>36</v>
      </c>
      <c r="F72" s="22">
        <v>73</v>
      </c>
      <c r="G72" s="1" t="s">
        <v>436</v>
      </c>
      <c r="H72" s="8" t="s">
        <v>439</v>
      </c>
      <c r="J72" s="12">
        <v>1117.52</v>
      </c>
    </row>
    <row r="73" spans="1:10" x14ac:dyDescent="0.25">
      <c r="A73" t="s">
        <v>559</v>
      </c>
      <c r="B73" t="s">
        <v>848</v>
      </c>
      <c r="C73" s="25">
        <v>3.2864999771118173</v>
      </c>
      <c r="D73" s="25">
        <v>3.6</v>
      </c>
      <c r="E73" s="22">
        <v>36</v>
      </c>
      <c r="F73" s="22">
        <v>73</v>
      </c>
      <c r="G73" s="1" t="s">
        <v>436</v>
      </c>
      <c r="H73" s="8" t="s">
        <v>439</v>
      </c>
      <c r="J73" s="12">
        <v>1117.52</v>
      </c>
    </row>
    <row r="74" spans="1:10" x14ac:dyDescent="0.25">
      <c r="A74" t="s">
        <v>560</v>
      </c>
      <c r="B74" t="s">
        <v>848</v>
      </c>
      <c r="C74" s="25">
        <v>4.6694998741149902</v>
      </c>
      <c r="D74" s="25">
        <v>4.8</v>
      </c>
      <c r="E74" s="22">
        <v>36</v>
      </c>
      <c r="F74" s="22">
        <v>73</v>
      </c>
      <c r="G74" s="1" t="s">
        <v>436</v>
      </c>
      <c r="H74" s="8" t="s">
        <v>439</v>
      </c>
      <c r="J74" s="12">
        <v>1117.52</v>
      </c>
    </row>
    <row r="75" spans="1:10" x14ac:dyDescent="0.25">
      <c r="A75" t="s">
        <v>561</v>
      </c>
      <c r="B75" t="s">
        <v>848</v>
      </c>
      <c r="C75" s="25">
        <v>3.2864999771118164</v>
      </c>
      <c r="D75" s="25">
        <v>3.6</v>
      </c>
      <c r="E75" s="22">
        <v>36</v>
      </c>
      <c r="F75" s="22">
        <v>73</v>
      </c>
      <c r="G75" s="1" t="s">
        <v>436</v>
      </c>
      <c r="H75" s="8" t="s">
        <v>439</v>
      </c>
      <c r="J75" s="12">
        <v>1117.52</v>
      </c>
    </row>
    <row r="76" spans="1:10" x14ac:dyDescent="0.25">
      <c r="A76" t="s">
        <v>562</v>
      </c>
      <c r="B76" t="s">
        <v>848</v>
      </c>
      <c r="C76" s="25">
        <v>5.2699999809265137</v>
      </c>
      <c r="D76" s="25">
        <v>5.4</v>
      </c>
      <c r="E76" s="22">
        <v>36</v>
      </c>
      <c r="F76" s="22">
        <v>73</v>
      </c>
      <c r="G76" s="1" t="s">
        <v>436</v>
      </c>
      <c r="H76" s="8" t="s">
        <v>439</v>
      </c>
      <c r="J76" s="12">
        <v>1117.52</v>
      </c>
    </row>
    <row r="77" spans="1:10" x14ac:dyDescent="0.25">
      <c r="A77" t="s">
        <v>563</v>
      </c>
      <c r="B77" t="s">
        <v>848</v>
      </c>
      <c r="C77" s="25">
        <v>5.2699999809265137</v>
      </c>
      <c r="D77" s="25">
        <v>5.4</v>
      </c>
      <c r="E77" s="22">
        <v>36</v>
      </c>
      <c r="F77" s="22">
        <v>73</v>
      </c>
      <c r="G77" s="1" t="s">
        <v>436</v>
      </c>
      <c r="H77" s="8" t="s">
        <v>439</v>
      </c>
      <c r="J77" s="12">
        <v>1117.52</v>
      </c>
    </row>
    <row r="78" spans="1:10" x14ac:dyDescent="0.25">
      <c r="A78" t="s">
        <v>564</v>
      </c>
      <c r="B78" t="s">
        <v>848</v>
      </c>
      <c r="C78" s="25">
        <v>5.2699999809265137</v>
      </c>
      <c r="D78" s="25">
        <v>5.4</v>
      </c>
      <c r="E78" s="22">
        <v>36</v>
      </c>
      <c r="F78" s="22">
        <v>73</v>
      </c>
      <c r="G78" s="1" t="s">
        <v>436</v>
      </c>
      <c r="H78" s="8" t="s">
        <v>439</v>
      </c>
      <c r="J78" s="12">
        <v>1117.52</v>
      </c>
    </row>
    <row r="79" spans="1:10" x14ac:dyDescent="0.25">
      <c r="A79" t="s">
        <v>565</v>
      </c>
      <c r="B79" t="s">
        <v>848</v>
      </c>
      <c r="C79" s="25">
        <v>4.5240001678466797</v>
      </c>
      <c r="D79" s="25">
        <v>4.8</v>
      </c>
      <c r="E79" s="22">
        <v>36</v>
      </c>
      <c r="F79" s="22">
        <v>73</v>
      </c>
      <c r="G79" s="1" t="s">
        <v>436</v>
      </c>
      <c r="H79" s="8" t="s">
        <v>439</v>
      </c>
      <c r="J79" s="12">
        <v>1117.52</v>
      </c>
    </row>
    <row r="80" spans="1:10" x14ac:dyDescent="0.25">
      <c r="A80" t="s">
        <v>566</v>
      </c>
      <c r="B80" t="s">
        <v>848</v>
      </c>
      <c r="C80" s="25">
        <v>3.4519999027252197</v>
      </c>
      <c r="D80" s="25">
        <v>3.6</v>
      </c>
      <c r="E80" s="22">
        <v>36</v>
      </c>
      <c r="F80" s="22">
        <v>73</v>
      </c>
      <c r="G80" s="1" t="s">
        <v>436</v>
      </c>
      <c r="H80" s="8" t="s">
        <v>439</v>
      </c>
      <c r="J80" s="12">
        <v>1117.52</v>
      </c>
    </row>
    <row r="81" spans="1:10" x14ac:dyDescent="0.25">
      <c r="A81" t="s">
        <v>567</v>
      </c>
      <c r="B81" t="s">
        <v>848</v>
      </c>
      <c r="C81" s="25">
        <v>4.5240001678466797</v>
      </c>
      <c r="D81" s="25">
        <v>4.8</v>
      </c>
      <c r="E81" s="22">
        <v>36</v>
      </c>
      <c r="F81" s="22">
        <v>73</v>
      </c>
      <c r="G81" s="1" t="s">
        <v>436</v>
      </c>
      <c r="H81" s="8" t="s">
        <v>439</v>
      </c>
      <c r="J81" s="12">
        <v>1117.52</v>
      </c>
    </row>
    <row r="82" spans="1:10" x14ac:dyDescent="0.25">
      <c r="A82" t="s">
        <v>568</v>
      </c>
      <c r="B82" t="s">
        <v>848</v>
      </c>
      <c r="C82" s="25">
        <v>3.4519999027252197</v>
      </c>
      <c r="D82" s="25">
        <v>3.6</v>
      </c>
      <c r="E82" s="22">
        <v>36</v>
      </c>
      <c r="F82" s="22">
        <v>73</v>
      </c>
      <c r="G82" s="1" t="s">
        <v>436</v>
      </c>
      <c r="H82" s="8" t="s">
        <v>439</v>
      </c>
      <c r="J82" s="12">
        <v>1117.52</v>
      </c>
    </row>
    <row r="83" spans="1:10" x14ac:dyDescent="0.25">
      <c r="A83" t="s">
        <v>569</v>
      </c>
      <c r="B83" t="s">
        <v>848</v>
      </c>
      <c r="C83" s="25">
        <v>4.5240001678466797</v>
      </c>
      <c r="D83" s="25">
        <v>4.8</v>
      </c>
      <c r="E83" s="22">
        <v>36</v>
      </c>
      <c r="F83" s="22">
        <v>73</v>
      </c>
      <c r="G83" s="1" t="s">
        <v>436</v>
      </c>
      <c r="H83" s="8" t="s">
        <v>439</v>
      </c>
      <c r="J83" s="12">
        <v>1117.52</v>
      </c>
    </row>
    <row r="84" spans="1:10" x14ac:dyDescent="0.25">
      <c r="A84" t="s">
        <v>570</v>
      </c>
      <c r="B84" t="s">
        <v>848</v>
      </c>
      <c r="C84" s="25">
        <v>3.4519999027252197</v>
      </c>
      <c r="D84" s="25">
        <v>3.6</v>
      </c>
      <c r="E84" s="22">
        <v>36</v>
      </c>
      <c r="F84" s="22">
        <v>73</v>
      </c>
      <c r="G84" s="1" t="s">
        <v>436</v>
      </c>
      <c r="H84" s="8" t="s">
        <v>439</v>
      </c>
      <c r="J84" s="12">
        <v>1117.52</v>
      </c>
    </row>
    <row r="85" spans="1:10" x14ac:dyDescent="0.25">
      <c r="A85" t="s">
        <v>571</v>
      </c>
      <c r="B85" t="s">
        <v>848</v>
      </c>
      <c r="C85" s="25">
        <v>4.5240001678466797</v>
      </c>
      <c r="D85" s="25">
        <v>4.8</v>
      </c>
      <c r="E85" s="22">
        <v>36</v>
      </c>
      <c r="F85" s="22">
        <v>73</v>
      </c>
      <c r="G85" s="1" t="s">
        <v>436</v>
      </c>
      <c r="H85" s="8" t="s">
        <v>439</v>
      </c>
      <c r="J85" s="12">
        <v>1117.52</v>
      </c>
    </row>
    <row r="86" spans="1:10" x14ac:dyDescent="0.25">
      <c r="A86" t="s">
        <v>572</v>
      </c>
      <c r="B86" t="s">
        <v>848</v>
      </c>
      <c r="C86" s="25">
        <v>3.4519999027252197</v>
      </c>
      <c r="D86" s="25">
        <v>3.6</v>
      </c>
      <c r="E86" s="22">
        <v>36</v>
      </c>
      <c r="F86" s="22">
        <v>73</v>
      </c>
      <c r="G86" s="1" t="s">
        <v>436</v>
      </c>
      <c r="H86" s="8" t="s">
        <v>439</v>
      </c>
      <c r="J86" s="12">
        <v>1117.52</v>
      </c>
    </row>
    <row r="87" spans="1:10" x14ac:dyDescent="0.25">
      <c r="A87" t="s">
        <v>573</v>
      </c>
      <c r="B87" t="s">
        <v>848</v>
      </c>
      <c r="C87" s="25">
        <v>4.5240001678466797</v>
      </c>
      <c r="D87" s="25">
        <v>4.8</v>
      </c>
      <c r="E87" s="22">
        <v>36</v>
      </c>
      <c r="F87" s="22">
        <v>73</v>
      </c>
      <c r="G87" s="1" t="s">
        <v>436</v>
      </c>
      <c r="H87" s="8" t="s">
        <v>439</v>
      </c>
      <c r="J87" s="12">
        <v>1117.52</v>
      </c>
    </row>
    <row r="88" spans="1:10" x14ac:dyDescent="0.25">
      <c r="A88" t="s">
        <v>574</v>
      </c>
      <c r="B88" t="s">
        <v>848</v>
      </c>
      <c r="C88" s="25">
        <v>3.4519999027252197</v>
      </c>
      <c r="D88" s="25">
        <v>3.6</v>
      </c>
      <c r="E88" s="22">
        <v>36</v>
      </c>
      <c r="F88" s="22">
        <v>73</v>
      </c>
      <c r="G88" s="1" t="s">
        <v>436</v>
      </c>
      <c r="H88" s="8" t="s">
        <v>439</v>
      </c>
      <c r="J88" s="12">
        <v>1117.52</v>
      </c>
    </row>
    <row r="89" spans="1:10" x14ac:dyDescent="0.25">
      <c r="A89" t="s">
        <v>575</v>
      </c>
      <c r="B89" t="s">
        <v>848</v>
      </c>
      <c r="C89" s="25">
        <v>4.6586670875549316</v>
      </c>
      <c r="D89" s="25">
        <v>4.8</v>
      </c>
      <c r="E89" s="22">
        <v>36</v>
      </c>
      <c r="F89" s="22">
        <v>73</v>
      </c>
      <c r="G89" s="1" t="s">
        <v>436</v>
      </c>
      <c r="H89" s="8" t="s">
        <v>439</v>
      </c>
      <c r="J89" s="12">
        <v>1117.52</v>
      </c>
    </row>
    <row r="90" spans="1:10" x14ac:dyDescent="0.25">
      <c r="A90" t="s">
        <v>576</v>
      </c>
      <c r="B90" t="s">
        <v>848</v>
      </c>
      <c r="C90" s="25">
        <v>2.4473330974578857</v>
      </c>
      <c r="D90" s="25">
        <v>2.7</v>
      </c>
      <c r="E90" s="22">
        <v>36</v>
      </c>
      <c r="F90" s="22">
        <v>73</v>
      </c>
      <c r="G90" s="1" t="s">
        <v>436</v>
      </c>
      <c r="H90" s="8" t="s">
        <v>439</v>
      </c>
      <c r="J90" s="12">
        <v>1117.52</v>
      </c>
    </row>
    <row r="91" spans="1:10" x14ac:dyDescent="0.25">
      <c r="A91" t="s">
        <v>577</v>
      </c>
      <c r="B91" t="s">
        <v>848</v>
      </c>
      <c r="C91" s="25">
        <v>4.6586670875549316</v>
      </c>
      <c r="D91" s="25">
        <v>4.8</v>
      </c>
      <c r="E91" s="22">
        <v>36</v>
      </c>
      <c r="F91" s="22">
        <v>73</v>
      </c>
      <c r="G91" s="1" t="s">
        <v>436</v>
      </c>
      <c r="H91" s="8" t="s">
        <v>439</v>
      </c>
      <c r="J91" s="12">
        <v>1117.52</v>
      </c>
    </row>
    <row r="92" spans="1:10" x14ac:dyDescent="0.25">
      <c r="A92" t="s">
        <v>578</v>
      </c>
      <c r="B92" t="s">
        <v>848</v>
      </c>
      <c r="C92" s="25">
        <v>2.4473330974578857</v>
      </c>
      <c r="D92" s="25">
        <v>2.7</v>
      </c>
      <c r="E92" s="22">
        <v>36</v>
      </c>
      <c r="F92" s="22">
        <v>73</v>
      </c>
      <c r="G92" s="1" t="s">
        <v>436</v>
      </c>
      <c r="H92" s="8" t="s">
        <v>439</v>
      </c>
      <c r="J92" s="12">
        <v>1117.52</v>
      </c>
    </row>
    <row r="93" spans="1:10" x14ac:dyDescent="0.25">
      <c r="A93" t="s">
        <v>579</v>
      </c>
      <c r="B93" t="s">
        <v>848</v>
      </c>
      <c r="C93" s="25">
        <v>4.785088062286377</v>
      </c>
      <c r="D93" s="25">
        <v>4.8</v>
      </c>
      <c r="E93" s="22">
        <v>36</v>
      </c>
      <c r="F93" s="22">
        <v>73</v>
      </c>
      <c r="G93" s="1" t="s">
        <v>436</v>
      </c>
      <c r="H93" s="8" t="s">
        <v>439</v>
      </c>
      <c r="J93" s="12">
        <v>1117.52</v>
      </c>
    </row>
    <row r="94" spans="1:10" x14ac:dyDescent="0.25">
      <c r="A94" t="s">
        <v>580</v>
      </c>
      <c r="B94" t="s">
        <v>848</v>
      </c>
      <c r="C94" s="25">
        <v>4.8058280944824219</v>
      </c>
      <c r="D94" s="25">
        <v>5.4</v>
      </c>
      <c r="E94" s="22">
        <v>36</v>
      </c>
      <c r="F94" s="22">
        <v>73</v>
      </c>
      <c r="G94" s="1" t="s">
        <v>436</v>
      </c>
      <c r="H94" s="8" t="s">
        <v>439</v>
      </c>
      <c r="J94" s="12">
        <v>1117.52</v>
      </c>
    </row>
    <row r="95" spans="1:10" x14ac:dyDescent="0.25">
      <c r="A95" t="s">
        <v>581</v>
      </c>
      <c r="B95" t="s">
        <v>848</v>
      </c>
      <c r="C95" s="25">
        <v>2.5209140777587891</v>
      </c>
      <c r="D95" s="25">
        <v>2.7</v>
      </c>
      <c r="E95" s="22">
        <v>36</v>
      </c>
      <c r="F95" s="22">
        <v>73</v>
      </c>
      <c r="G95" s="1" t="s">
        <v>436</v>
      </c>
      <c r="H95" s="8" t="s">
        <v>439</v>
      </c>
      <c r="J95" s="12">
        <v>1117.52</v>
      </c>
    </row>
    <row r="96" spans="1:10" x14ac:dyDescent="0.25">
      <c r="A96" t="s">
        <v>582</v>
      </c>
      <c r="B96" t="s">
        <v>849</v>
      </c>
      <c r="C96" s="25">
        <v>2.6683380603790274</v>
      </c>
      <c r="D96" s="25">
        <v>2.7</v>
      </c>
      <c r="E96" s="22">
        <v>36</v>
      </c>
      <c r="F96" s="22">
        <v>73</v>
      </c>
      <c r="G96" s="1" t="s">
        <v>436</v>
      </c>
      <c r="H96" s="8" t="s">
        <v>439</v>
      </c>
      <c r="J96" s="12">
        <v>1117.52</v>
      </c>
    </row>
    <row r="97" spans="1:10" x14ac:dyDescent="0.25">
      <c r="A97" t="s">
        <v>583</v>
      </c>
      <c r="B97" t="s">
        <v>849</v>
      </c>
      <c r="C97" s="25">
        <v>2.6683380603790261</v>
      </c>
      <c r="D97" s="25">
        <v>2.7</v>
      </c>
      <c r="E97" s="22">
        <v>36</v>
      </c>
      <c r="F97" s="22">
        <v>73</v>
      </c>
      <c r="G97" s="1" t="s">
        <v>436</v>
      </c>
      <c r="H97" s="8" t="s">
        <v>439</v>
      </c>
      <c r="J97" s="12">
        <v>1117.52</v>
      </c>
    </row>
    <row r="98" spans="1:10" x14ac:dyDescent="0.25">
      <c r="A98" t="s">
        <v>584</v>
      </c>
      <c r="B98" t="s">
        <v>849</v>
      </c>
      <c r="C98" s="25">
        <v>2.6683380603790297</v>
      </c>
      <c r="D98" s="25">
        <v>2.7</v>
      </c>
      <c r="E98" s="22">
        <v>36</v>
      </c>
      <c r="F98" s="22">
        <v>73</v>
      </c>
      <c r="G98" s="1" t="s">
        <v>436</v>
      </c>
      <c r="H98" s="8" t="s">
        <v>439</v>
      </c>
      <c r="J98" s="12">
        <v>1117.52</v>
      </c>
    </row>
    <row r="99" spans="1:10" x14ac:dyDescent="0.25">
      <c r="A99" t="s">
        <v>585</v>
      </c>
      <c r="B99" t="s">
        <v>849</v>
      </c>
      <c r="C99" s="25">
        <v>2.6683380603790292</v>
      </c>
      <c r="D99" s="25">
        <v>2.7</v>
      </c>
      <c r="E99" s="22">
        <v>36</v>
      </c>
      <c r="F99" s="22">
        <v>73</v>
      </c>
      <c r="G99" s="1" t="s">
        <v>436</v>
      </c>
      <c r="H99" s="8" t="s">
        <v>439</v>
      </c>
      <c r="J99" s="12">
        <v>1117.52</v>
      </c>
    </row>
    <row r="100" spans="1:10" x14ac:dyDescent="0.25">
      <c r="A100" t="s">
        <v>586</v>
      </c>
      <c r="B100" t="s">
        <v>849</v>
      </c>
      <c r="C100" s="25">
        <v>2.6683380603790283</v>
      </c>
      <c r="D100" s="25">
        <v>2.7</v>
      </c>
      <c r="E100" s="22">
        <v>36</v>
      </c>
      <c r="F100" s="22">
        <v>73</v>
      </c>
      <c r="G100" s="1" t="s">
        <v>436</v>
      </c>
      <c r="H100" s="8" t="s">
        <v>439</v>
      </c>
      <c r="J100" s="12">
        <v>1117.52</v>
      </c>
    </row>
    <row r="101" spans="1:10" x14ac:dyDescent="0.25">
      <c r="A101" t="s">
        <v>587</v>
      </c>
      <c r="B101" t="s">
        <v>849</v>
      </c>
      <c r="C101" s="25">
        <v>2.5789663791656499</v>
      </c>
      <c r="D101" s="25">
        <v>2.7</v>
      </c>
      <c r="E101" s="22">
        <v>36</v>
      </c>
      <c r="F101" s="22">
        <v>73</v>
      </c>
      <c r="G101" s="1" t="s">
        <v>436</v>
      </c>
      <c r="H101" s="8" t="s">
        <v>439</v>
      </c>
      <c r="J101" s="12">
        <v>1117.52</v>
      </c>
    </row>
    <row r="102" spans="1:10" x14ac:dyDescent="0.25">
      <c r="A102" t="s">
        <v>588</v>
      </c>
      <c r="B102" t="s">
        <v>849</v>
      </c>
      <c r="C102" s="25">
        <v>2.5789661407470703</v>
      </c>
      <c r="D102" s="25">
        <v>2.7</v>
      </c>
      <c r="E102" s="22">
        <v>36</v>
      </c>
      <c r="F102" s="22">
        <v>73</v>
      </c>
      <c r="G102" s="1" t="s">
        <v>436</v>
      </c>
      <c r="H102" s="8" t="s">
        <v>439</v>
      </c>
      <c r="J102" s="12">
        <v>1117.52</v>
      </c>
    </row>
    <row r="103" spans="1:10" x14ac:dyDescent="0.25">
      <c r="A103" t="s">
        <v>589</v>
      </c>
      <c r="B103" t="s">
        <v>849</v>
      </c>
      <c r="C103" s="25">
        <v>2.5789661407470703</v>
      </c>
      <c r="D103" s="25">
        <v>2.7</v>
      </c>
      <c r="E103" s="22">
        <v>36</v>
      </c>
      <c r="F103" s="22">
        <v>73</v>
      </c>
      <c r="G103" s="1" t="s">
        <v>436</v>
      </c>
      <c r="H103" s="8" t="s">
        <v>439</v>
      </c>
      <c r="J103" s="12">
        <v>1117.52</v>
      </c>
    </row>
    <row r="104" spans="1:10" x14ac:dyDescent="0.25">
      <c r="A104" t="s">
        <v>590</v>
      </c>
      <c r="B104" t="s">
        <v>849</v>
      </c>
      <c r="C104" s="25">
        <v>2.5789661407470699</v>
      </c>
      <c r="D104" s="25">
        <v>2.7</v>
      </c>
      <c r="E104" s="22">
        <v>36</v>
      </c>
      <c r="F104" s="22">
        <v>73</v>
      </c>
      <c r="G104" s="1" t="s">
        <v>436</v>
      </c>
      <c r="H104" s="8" t="s">
        <v>439</v>
      </c>
      <c r="J104" s="12">
        <v>1117.52</v>
      </c>
    </row>
    <row r="105" spans="1:10" x14ac:dyDescent="0.25">
      <c r="A105" t="s">
        <v>591</v>
      </c>
      <c r="B105" t="s">
        <v>849</v>
      </c>
      <c r="C105" s="25">
        <v>2.7524132728576647</v>
      </c>
      <c r="D105" s="25">
        <v>3</v>
      </c>
      <c r="E105" s="22">
        <v>36</v>
      </c>
      <c r="F105" s="22">
        <v>73</v>
      </c>
      <c r="G105" s="1" t="s">
        <v>436</v>
      </c>
      <c r="H105" s="8" t="s">
        <v>439</v>
      </c>
      <c r="J105" s="12">
        <v>1117.52</v>
      </c>
    </row>
    <row r="106" spans="1:10" x14ac:dyDescent="0.25">
      <c r="A106" t="s">
        <v>592</v>
      </c>
      <c r="B106" t="s">
        <v>849</v>
      </c>
      <c r="C106" s="25">
        <v>2.7524135112762438</v>
      </c>
      <c r="D106" s="25">
        <v>3</v>
      </c>
      <c r="E106" s="22">
        <v>36</v>
      </c>
      <c r="F106" s="22">
        <v>73</v>
      </c>
      <c r="G106" s="1" t="s">
        <v>436</v>
      </c>
      <c r="H106" s="8" t="s">
        <v>439</v>
      </c>
      <c r="J106" s="12">
        <v>1117.52</v>
      </c>
    </row>
    <row r="107" spans="1:10" x14ac:dyDescent="0.25">
      <c r="A107" t="s">
        <v>593</v>
      </c>
      <c r="B107" t="s">
        <v>849</v>
      </c>
      <c r="C107" s="25">
        <v>2.7524132728576678</v>
      </c>
      <c r="D107" s="25">
        <v>3</v>
      </c>
      <c r="E107" s="22">
        <v>36</v>
      </c>
      <c r="F107" s="22">
        <v>73</v>
      </c>
      <c r="G107" s="1" t="s">
        <v>436</v>
      </c>
      <c r="H107" s="8" t="s">
        <v>439</v>
      </c>
      <c r="J107" s="12">
        <v>1117.52</v>
      </c>
    </row>
    <row r="108" spans="1:10" x14ac:dyDescent="0.25">
      <c r="A108" t="s">
        <v>594</v>
      </c>
      <c r="B108" t="s">
        <v>849</v>
      </c>
      <c r="C108" s="25">
        <v>2.8287274837493883</v>
      </c>
      <c r="D108" s="25">
        <v>3</v>
      </c>
      <c r="E108" s="22">
        <v>36</v>
      </c>
      <c r="F108" s="22">
        <v>73</v>
      </c>
      <c r="G108" s="1" t="s">
        <v>436</v>
      </c>
      <c r="H108" s="8" t="s">
        <v>439</v>
      </c>
      <c r="J108" s="12">
        <v>1117.52</v>
      </c>
    </row>
    <row r="109" spans="1:10" x14ac:dyDescent="0.25">
      <c r="A109" t="s">
        <v>595</v>
      </c>
      <c r="B109" t="s">
        <v>849</v>
      </c>
      <c r="C109" s="25">
        <v>2.8287274837493896</v>
      </c>
      <c r="D109" s="25">
        <v>3</v>
      </c>
      <c r="E109" s="22">
        <v>36</v>
      </c>
      <c r="F109" s="22">
        <v>73</v>
      </c>
      <c r="G109" s="1" t="s">
        <v>436</v>
      </c>
      <c r="H109" s="8" t="s">
        <v>439</v>
      </c>
      <c r="J109" s="12">
        <v>1117.52</v>
      </c>
    </row>
    <row r="110" spans="1:10" x14ac:dyDescent="0.25">
      <c r="A110" t="s">
        <v>596</v>
      </c>
      <c r="B110" t="s">
        <v>849</v>
      </c>
      <c r="C110" s="25">
        <v>2.8287277221679701</v>
      </c>
      <c r="D110" s="25">
        <v>3</v>
      </c>
      <c r="E110" s="22">
        <v>36</v>
      </c>
      <c r="F110" s="22">
        <v>73</v>
      </c>
      <c r="G110" s="1" t="s">
        <v>436</v>
      </c>
      <c r="H110" s="8" t="s">
        <v>439</v>
      </c>
      <c r="J110" s="12">
        <v>1117.52</v>
      </c>
    </row>
    <row r="111" spans="1:10" x14ac:dyDescent="0.25">
      <c r="A111" t="s">
        <v>597</v>
      </c>
      <c r="B111" t="s">
        <v>849</v>
      </c>
      <c r="C111" s="25">
        <v>2.6979830265045157</v>
      </c>
      <c r="D111" s="25">
        <v>2.7</v>
      </c>
      <c r="E111" s="22">
        <v>36</v>
      </c>
      <c r="F111" s="22">
        <v>73</v>
      </c>
      <c r="G111" s="1" t="s">
        <v>436</v>
      </c>
      <c r="H111" s="8" t="s">
        <v>439</v>
      </c>
      <c r="J111" s="12">
        <v>1117.52</v>
      </c>
    </row>
    <row r="112" spans="1:10" x14ac:dyDescent="0.25">
      <c r="A112" t="s">
        <v>598</v>
      </c>
      <c r="B112" t="s">
        <v>849</v>
      </c>
      <c r="C112" s="25">
        <v>2.6979830265045166</v>
      </c>
      <c r="D112" s="25">
        <v>2.7</v>
      </c>
      <c r="E112" s="22">
        <v>36</v>
      </c>
      <c r="F112" s="22">
        <v>73</v>
      </c>
      <c r="G112" s="1" t="s">
        <v>436</v>
      </c>
      <c r="H112" s="8" t="s">
        <v>439</v>
      </c>
      <c r="J112" s="12">
        <v>1117.52</v>
      </c>
    </row>
    <row r="113" spans="1:10" x14ac:dyDescent="0.25">
      <c r="A113" t="s">
        <v>599</v>
      </c>
      <c r="B113" t="s">
        <v>849</v>
      </c>
      <c r="C113" s="25">
        <v>2.6979827880859366</v>
      </c>
      <c r="D113" s="25">
        <v>2.7</v>
      </c>
      <c r="E113" s="22">
        <v>36</v>
      </c>
      <c r="F113" s="22">
        <v>73</v>
      </c>
      <c r="G113" s="1" t="s">
        <v>436</v>
      </c>
      <c r="H113" s="8" t="s">
        <v>439</v>
      </c>
      <c r="J113" s="12">
        <v>1117.52</v>
      </c>
    </row>
    <row r="114" spans="1:10" x14ac:dyDescent="0.25">
      <c r="A114" t="s">
        <v>600</v>
      </c>
      <c r="B114" t="s">
        <v>849</v>
      </c>
      <c r="C114" s="25">
        <v>2.697983026504517</v>
      </c>
      <c r="D114" s="25">
        <v>2.7</v>
      </c>
      <c r="E114" s="22">
        <v>36</v>
      </c>
      <c r="F114" s="22">
        <v>73</v>
      </c>
      <c r="G114" s="1" t="s">
        <v>436</v>
      </c>
      <c r="H114" s="8" t="s">
        <v>439</v>
      </c>
      <c r="J114" s="12">
        <v>1117.52</v>
      </c>
    </row>
    <row r="115" spans="1:10" x14ac:dyDescent="0.25">
      <c r="A115" t="s">
        <v>601</v>
      </c>
      <c r="B115" t="s">
        <v>849</v>
      </c>
      <c r="C115" s="25">
        <v>2.6979827880859375</v>
      </c>
      <c r="D115" s="25">
        <v>2.7</v>
      </c>
      <c r="E115" s="22">
        <v>36</v>
      </c>
      <c r="F115" s="22">
        <v>73</v>
      </c>
      <c r="G115" s="1" t="s">
        <v>436</v>
      </c>
      <c r="H115" s="8" t="s">
        <v>439</v>
      </c>
      <c r="J115" s="12">
        <v>1117.52</v>
      </c>
    </row>
    <row r="116" spans="1:10" x14ac:dyDescent="0.25">
      <c r="A116" t="s">
        <v>602</v>
      </c>
      <c r="B116" t="s">
        <v>849</v>
      </c>
      <c r="C116" s="25">
        <v>2.6979830265045166</v>
      </c>
      <c r="D116" s="25">
        <v>2.7</v>
      </c>
      <c r="E116" s="22">
        <v>36</v>
      </c>
      <c r="F116" s="22">
        <v>73</v>
      </c>
      <c r="G116" s="1" t="s">
        <v>436</v>
      </c>
      <c r="H116" s="8" t="s">
        <v>439</v>
      </c>
      <c r="J116" s="12">
        <v>1117.52</v>
      </c>
    </row>
    <row r="117" spans="1:10" x14ac:dyDescent="0.25">
      <c r="A117" t="s">
        <v>603</v>
      </c>
      <c r="B117" t="s">
        <v>849</v>
      </c>
      <c r="C117" s="25">
        <v>2.5789520740509024</v>
      </c>
      <c r="D117" s="25">
        <v>2.7</v>
      </c>
      <c r="E117" s="22">
        <v>36</v>
      </c>
      <c r="F117" s="22">
        <v>73</v>
      </c>
      <c r="G117" s="1" t="s">
        <v>436</v>
      </c>
      <c r="H117" s="8" t="s">
        <v>439</v>
      </c>
      <c r="J117" s="12">
        <v>1117.52</v>
      </c>
    </row>
    <row r="118" spans="1:10" x14ac:dyDescent="0.25">
      <c r="A118" t="s">
        <v>604</v>
      </c>
      <c r="B118" t="s">
        <v>849</v>
      </c>
      <c r="C118" s="25">
        <v>2.5789523124694806</v>
      </c>
      <c r="D118" s="25">
        <v>2.7</v>
      </c>
      <c r="E118" s="22">
        <v>36</v>
      </c>
      <c r="F118" s="22">
        <v>73</v>
      </c>
      <c r="G118" s="1" t="s">
        <v>436</v>
      </c>
      <c r="H118" s="8" t="s">
        <v>439</v>
      </c>
      <c r="J118" s="12">
        <v>1117.52</v>
      </c>
    </row>
    <row r="119" spans="1:10" x14ac:dyDescent="0.25">
      <c r="A119" t="s">
        <v>605</v>
      </c>
      <c r="B119" t="s">
        <v>849</v>
      </c>
      <c r="C119" s="25">
        <v>2.5789523124694793</v>
      </c>
      <c r="D119" s="25">
        <v>2.7</v>
      </c>
      <c r="E119" s="22">
        <v>36</v>
      </c>
      <c r="F119" s="22">
        <v>73</v>
      </c>
      <c r="G119" s="1" t="s">
        <v>436</v>
      </c>
      <c r="H119" s="8" t="s">
        <v>439</v>
      </c>
      <c r="J119" s="12">
        <v>1117.52</v>
      </c>
    </row>
    <row r="120" spans="1:10" x14ac:dyDescent="0.25">
      <c r="A120" t="s">
        <v>606</v>
      </c>
      <c r="B120" t="s">
        <v>849</v>
      </c>
      <c r="C120" s="25">
        <v>2.578952074050902</v>
      </c>
      <c r="D120" s="25">
        <v>2.7</v>
      </c>
      <c r="E120" s="22">
        <v>36</v>
      </c>
      <c r="F120" s="22">
        <v>73</v>
      </c>
      <c r="G120" s="1" t="s">
        <v>436</v>
      </c>
      <c r="H120" s="8" t="s">
        <v>439</v>
      </c>
      <c r="J120" s="12">
        <v>1117.52</v>
      </c>
    </row>
    <row r="121" spans="1:10" x14ac:dyDescent="0.25">
      <c r="A121" t="s">
        <v>607</v>
      </c>
      <c r="B121" t="s">
        <v>849</v>
      </c>
      <c r="C121" s="25">
        <v>2.5468945503234881</v>
      </c>
      <c r="D121" s="25">
        <v>2.7</v>
      </c>
      <c r="E121" s="22">
        <v>36</v>
      </c>
      <c r="F121" s="22">
        <v>73</v>
      </c>
      <c r="G121" s="1" t="s">
        <v>436</v>
      </c>
      <c r="H121" s="8" t="s">
        <v>439</v>
      </c>
      <c r="J121" s="12">
        <v>1117.52</v>
      </c>
    </row>
    <row r="122" spans="1:10" x14ac:dyDescent="0.25">
      <c r="A122" t="s">
        <v>608</v>
      </c>
      <c r="B122" t="s">
        <v>849</v>
      </c>
      <c r="C122" s="25">
        <v>2.546894550323485</v>
      </c>
      <c r="D122" s="25">
        <v>2.7</v>
      </c>
      <c r="E122" s="22">
        <v>36</v>
      </c>
      <c r="F122" s="22">
        <v>73</v>
      </c>
      <c r="G122" s="1" t="s">
        <v>436</v>
      </c>
      <c r="H122" s="8" t="s">
        <v>439</v>
      </c>
      <c r="J122" s="12">
        <v>1117.52</v>
      </c>
    </row>
    <row r="123" spans="1:10" x14ac:dyDescent="0.25">
      <c r="A123" t="s">
        <v>609</v>
      </c>
      <c r="B123" t="s">
        <v>849</v>
      </c>
      <c r="C123" s="25">
        <v>2.5468943119049072</v>
      </c>
      <c r="D123" s="25">
        <v>2.7</v>
      </c>
      <c r="E123" s="22">
        <v>36</v>
      </c>
      <c r="F123" s="22">
        <v>73</v>
      </c>
      <c r="G123" s="1" t="s">
        <v>436</v>
      </c>
      <c r="H123" s="8" t="s">
        <v>439</v>
      </c>
      <c r="J123" s="12">
        <v>1117.52</v>
      </c>
    </row>
    <row r="124" spans="1:10" x14ac:dyDescent="0.25">
      <c r="A124" t="s">
        <v>610</v>
      </c>
      <c r="B124" t="s">
        <v>849</v>
      </c>
      <c r="C124" s="25">
        <v>2.5468945503234859</v>
      </c>
      <c r="D124" s="25">
        <v>2.7</v>
      </c>
      <c r="E124" s="22">
        <v>36</v>
      </c>
      <c r="F124" s="22">
        <v>73</v>
      </c>
      <c r="G124" s="1" t="s">
        <v>436</v>
      </c>
      <c r="H124" s="8" t="s">
        <v>439</v>
      </c>
      <c r="J124" s="12">
        <v>1117.52</v>
      </c>
    </row>
    <row r="125" spans="1:10" x14ac:dyDescent="0.25">
      <c r="A125" t="s">
        <v>611</v>
      </c>
      <c r="B125" t="s">
        <v>849</v>
      </c>
      <c r="C125" s="25">
        <v>2.7532470226287824</v>
      </c>
      <c r="D125" s="25">
        <v>3</v>
      </c>
      <c r="E125" s="22">
        <v>36</v>
      </c>
      <c r="F125" s="22">
        <v>73</v>
      </c>
      <c r="G125" s="1" t="s">
        <v>436</v>
      </c>
      <c r="H125" s="8" t="s">
        <v>439</v>
      </c>
      <c r="J125" s="12">
        <v>1117.52</v>
      </c>
    </row>
    <row r="126" spans="1:10" x14ac:dyDescent="0.25">
      <c r="A126" t="s">
        <v>612</v>
      </c>
      <c r="B126" t="s">
        <v>849</v>
      </c>
      <c r="C126" s="25">
        <v>2.7532470226287833</v>
      </c>
      <c r="D126" s="25">
        <v>3</v>
      </c>
      <c r="E126" s="22">
        <v>36</v>
      </c>
      <c r="F126" s="22">
        <v>73</v>
      </c>
      <c r="G126" s="1" t="s">
        <v>436</v>
      </c>
      <c r="H126" s="8" t="s">
        <v>439</v>
      </c>
      <c r="J126" s="12">
        <v>1117.52</v>
      </c>
    </row>
    <row r="127" spans="1:10" x14ac:dyDescent="0.25">
      <c r="A127" t="s">
        <v>613</v>
      </c>
      <c r="B127" t="s">
        <v>849</v>
      </c>
      <c r="C127" s="25">
        <v>2.7532470226287837</v>
      </c>
      <c r="D127" s="25">
        <v>3</v>
      </c>
      <c r="E127" s="22">
        <v>36</v>
      </c>
      <c r="F127" s="22">
        <v>73</v>
      </c>
      <c r="G127" s="1" t="s">
        <v>436</v>
      </c>
      <c r="H127" s="8" t="s">
        <v>439</v>
      </c>
      <c r="J127" s="12">
        <v>1117.52</v>
      </c>
    </row>
    <row r="128" spans="1:10" x14ac:dyDescent="0.25">
      <c r="A128" t="s">
        <v>614</v>
      </c>
      <c r="B128" t="s">
        <v>849</v>
      </c>
      <c r="C128" s="25">
        <v>2.5546026229858403</v>
      </c>
      <c r="D128" s="25">
        <v>2.7</v>
      </c>
      <c r="E128" s="22">
        <v>36</v>
      </c>
      <c r="F128" s="22">
        <v>73</v>
      </c>
      <c r="G128" s="1" t="s">
        <v>436</v>
      </c>
      <c r="H128" s="8" t="s">
        <v>439</v>
      </c>
      <c r="J128" s="12">
        <v>1117.52</v>
      </c>
    </row>
    <row r="129" spans="1:10" x14ac:dyDescent="0.25">
      <c r="A129" t="s">
        <v>615</v>
      </c>
      <c r="B129" t="s">
        <v>849</v>
      </c>
      <c r="C129" s="25">
        <v>2.5588710308074951</v>
      </c>
      <c r="D129" s="25">
        <v>2.7</v>
      </c>
      <c r="E129" s="22">
        <v>36</v>
      </c>
      <c r="F129" s="22">
        <v>73</v>
      </c>
      <c r="G129" s="1" t="s">
        <v>436</v>
      </c>
      <c r="H129" s="8" t="s">
        <v>439</v>
      </c>
      <c r="J129" s="12">
        <v>1117.52</v>
      </c>
    </row>
    <row r="130" spans="1:10" x14ac:dyDescent="0.25">
      <c r="A130" t="s">
        <v>616</v>
      </c>
      <c r="B130" t="s">
        <v>849</v>
      </c>
      <c r="C130" s="25">
        <v>2.5588707923889156</v>
      </c>
      <c r="D130" s="25">
        <v>2.7</v>
      </c>
      <c r="E130" s="22">
        <v>36</v>
      </c>
      <c r="F130" s="22">
        <v>73</v>
      </c>
      <c r="G130" s="1" t="s">
        <v>436</v>
      </c>
      <c r="H130" s="8" t="s">
        <v>439</v>
      </c>
      <c r="J130" s="12">
        <v>1117.52</v>
      </c>
    </row>
    <row r="131" spans="1:10" x14ac:dyDescent="0.25">
      <c r="A131" t="s">
        <v>617</v>
      </c>
      <c r="B131" t="s">
        <v>849</v>
      </c>
      <c r="C131" s="25">
        <v>2.5588710308074947</v>
      </c>
      <c r="D131" s="25">
        <v>2.7</v>
      </c>
      <c r="E131" s="22">
        <v>36</v>
      </c>
      <c r="F131" s="22">
        <v>73</v>
      </c>
      <c r="G131" s="1" t="s">
        <v>436</v>
      </c>
      <c r="H131" s="8" t="s">
        <v>439</v>
      </c>
      <c r="J131" s="12">
        <v>1117.52</v>
      </c>
    </row>
    <row r="132" spans="1:10" x14ac:dyDescent="0.25">
      <c r="A132" t="s">
        <v>618</v>
      </c>
      <c r="B132" t="s">
        <v>849</v>
      </c>
      <c r="C132" s="25">
        <v>2.7979772090911843</v>
      </c>
      <c r="D132" s="25">
        <v>3</v>
      </c>
      <c r="E132" s="22">
        <v>36</v>
      </c>
      <c r="F132" s="22">
        <v>73</v>
      </c>
      <c r="G132" s="1" t="s">
        <v>436</v>
      </c>
      <c r="H132" s="8" t="s">
        <v>439</v>
      </c>
      <c r="J132" s="12">
        <v>1117.52</v>
      </c>
    </row>
    <row r="133" spans="1:10" x14ac:dyDescent="0.25">
      <c r="A133" t="s">
        <v>619</v>
      </c>
      <c r="B133" t="s">
        <v>849</v>
      </c>
      <c r="C133" s="25">
        <v>2.7979772090911874</v>
      </c>
      <c r="D133" s="25">
        <v>3</v>
      </c>
      <c r="E133" s="22">
        <v>36</v>
      </c>
      <c r="F133" s="22">
        <v>73</v>
      </c>
      <c r="G133" s="1" t="s">
        <v>436</v>
      </c>
      <c r="H133" s="8" t="s">
        <v>439</v>
      </c>
      <c r="J133" s="12">
        <v>1117.52</v>
      </c>
    </row>
    <row r="134" spans="1:10" x14ac:dyDescent="0.25">
      <c r="A134" t="s">
        <v>620</v>
      </c>
      <c r="B134" t="s">
        <v>849</v>
      </c>
      <c r="C134" s="25">
        <v>2.7979769706726074</v>
      </c>
      <c r="D134" s="25">
        <v>3</v>
      </c>
      <c r="E134" s="22">
        <v>36</v>
      </c>
      <c r="F134" s="22">
        <v>73</v>
      </c>
      <c r="G134" s="1" t="s">
        <v>436</v>
      </c>
      <c r="H134" s="8" t="s">
        <v>439</v>
      </c>
      <c r="J134" s="12">
        <v>1117.52</v>
      </c>
    </row>
    <row r="135" spans="1:10" x14ac:dyDescent="0.25">
      <c r="A135" t="s">
        <v>621</v>
      </c>
      <c r="B135" t="s">
        <v>849</v>
      </c>
      <c r="C135" s="25">
        <v>2.7979774475097661</v>
      </c>
      <c r="D135" s="25">
        <v>3</v>
      </c>
      <c r="E135" s="22">
        <v>36</v>
      </c>
      <c r="F135" s="22">
        <v>73</v>
      </c>
      <c r="G135" s="1" t="s">
        <v>436</v>
      </c>
      <c r="H135" s="8" t="s">
        <v>439</v>
      </c>
      <c r="J135" s="12">
        <v>1117.52</v>
      </c>
    </row>
    <row r="136" spans="1:10" x14ac:dyDescent="0.25">
      <c r="A136" t="s">
        <v>622</v>
      </c>
      <c r="B136" t="s">
        <v>849</v>
      </c>
      <c r="C136" s="25">
        <v>2.8283989429473877</v>
      </c>
      <c r="D136" s="25">
        <v>3</v>
      </c>
      <c r="E136" s="22">
        <v>36</v>
      </c>
      <c r="F136" s="22">
        <v>73</v>
      </c>
      <c r="G136" s="1" t="s">
        <v>436</v>
      </c>
      <c r="H136" s="8" t="s">
        <v>439</v>
      </c>
      <c r="J136" s="12">
        <v>1117.52</v>
      </c>
    </row>
    <row r="137" spans="1:10" x14ac:dyDescent="0.25">
      <c r="A137" t="s">
        <v>623</v>
      </c>
      <c r="B137" t="s">
        <v>849</v>
      </c>
      <c r="C137" s="25">
        <v>2.8001155853271475</v>
      </c>
      <c r="D137" s="25">
        <v>3</v>
      </c>
      <c r="E137" s="22">
        <v>36</v>
      </c>
      <c r="F137" s="22">
        <v>73</v>
      </c>
      <c r="G137" s="1" t="s">
        <v>436</v>
      </c>
      <c r="H137" s="8" t="s">
        <v>439</v>
      </c>
      <c r="J137" s="12">
        <v>1117.52</v>
      </c>
    </row>
    <row r="138" spans="1:10" x14ac:dyDescent="0.25">
      <c r="A138" t="s">
        <v>624</v>
      </c>
      <c r="B138" t="s">
        <v>850</v>
      </c>
      <c r="C138" s="25">
        <v>1.2147823572158811</v>
      </c>
      <c r="D138" s="25">
        <v>1.5</v>
      </c>
      <c r="E138" s="22">
        <v>36</v>
      </c>
      <c r="F138" s="22">
        <v>73</v>
      </c>
      <c r="G138" s="1" t="s">
        <v>436</v>
      </c>
      <c r="H138" s="8" t="s">
        <v>439</v>
      </c>
      <c r="J138" s="12">
        <v>1117.52</v>
      </c>
    </row>
    <row r="139" spans="1:10" x14ac:dyDescent="0.25">
      <c r="A139" t="s">
        <v>625</v>
      </c>
      <c r="B139" t="s">
        <v>850</v>
      </c>
      <c r="C139" s="25">
        <v>1.4777904748916624</v>
      </c>
      <c r="D139" s="25">
        <v>1.5</v>
      </c>
      <c r="E139" s="22">
        <v>36</v>
      </c>
      <c r="F139" s="22">
        <v>73</v>
      </c>
      <c r="G139" s="1" t="s">
        <v>436</v>
      </c>
      <c r="H139" s="8" t="s">
        <v>439</v>
      </c>
      <c r="J139" s="12">
        <v>1117.52</v>
      </c>
    </row>
    <row r="140" spans="1:10" x14ac:dyDescent="0.25">
      <c r="A140" t="s">
        <v>626</v>
      </c>
      <c r="B140" t="s">
        <v>850</v>
      </c>
      <c r="C140" s="25">
        <v>1.4777904748916626</v>
      </c>
      <c r="D140" s="25">
        <v>1.5</v>
      </c>
      <c r="E140" s="22">
        <v>36</v>
      </c>
      <c r="F140" s="22">
        <v>73</v>
      </c>
      <c r="G140" s="1" t="s">
        <v>436</v>
      </c>
      <c r="H140" s="8" t="s">
        <v>439</v>
      </c>
      <c r="J140" s="12">
        <v>1117.52</v>
      </c>
    </row>
    <row r="141" spans="1:10" x14ac:dyDescent="0.25">
      <c r="A141" t="s">
        <v>627</v>
      </c>
      <c r="B141" t="s">
        <v>850</v>
      </c>
      <c r="C141" s="25">
        <v>1.3527610301971438</v>
      </c>
      <c r="D141" s="25">
        <v>1.5</v>
      </c>
      <c r="E141" s="22">
        <v>36</v>
      </c>
      <c r="F141" s="22">
        <v>73</v>
      </c>
      <c r="G141" s="1" t="s">
        <v>436</v>
      </c>
      <c r="H141" s="8" t="s">
        <v>439</v>
      </c>
      <c r="J141" s="12">
        <v>1117.52</v>
      </c>
    </row>
    <row r="142" spans="1:10" x14ac:dyDescent="0.25">
      <c r="A142" t="s">
        <v>628</v>
      </c>
      <c r="B142" t="s">
        <v>850</v>
      </c>
      <c r="C142" s="25">
        <v>1.2147823572158811</v>
      </c>
      <c r="D142" s="25">
        <v>1.5</v>
      </c>
      <c r="E142" s="22">
        <v>36</v>
      </c>
      <c r="F142" s="22">
        <v>73</v>
      </c>
      <c r="G142" s="1" t="s">
        <v>436</v>
      </c>
      <c r="H142" s="8" t="s">
        <v>439</v>
      </c>
      <c r="J142" s="12">
        <v>1117.52</v>
      </c>
    </row>
    <row r="143" spans="1:10" x14ac:dyDescent="0.25">
      <c r="A143" t="s">
        <v>629</v>
      </c>
      <c r="B143" t="s">
        <v>850</v>
      </c>
      <c r="C143" s="25">
        <v>1.477790474891663</v>
      </c>
      <c r="D143" s="25">
        <v>1.5</v>
      </c>
      <c r="E143" s="22">
        <v>36</v>
      </c>
      <c r="F143" s="22">
        <v>73</v>
      </c>
      <c r="G143" s="1" t="s">
        <v>436</v>
      </c>
      <c r="H143" s="8" t="s">
        <v>439</v>
      </c>
      <c r="J143" s="12">
        <v>1117.52</v>
      </c>
    </row>
    <row r="144" spans="1:10" x14ac:dyDescent="0.25">
      <c r="A144" t="s">
        <v>630</v>
      </c>
      <c r="B144" t="s">
        <v>850</v>
      </c>
      <c r="C144" s="25">
        <v>1.4777904748916622</v>
      </c>
      <c r="D144" s="25">
        <v>1.5</v>
      </c>
      <c r="E144" s="22">
        <v>36</v>
      </c>
      <c r="F144" s="22">
        <v>73</v>
      </c>
      <c r="G144" s="1" t="s">
        <v>436</v>
      </c>
      <c r="H144" s="8" t="s">
        <v>439</v>
      </c>
      <c r="J144" s="12">
        <v>1117.52</v>
      </c>
    </row>
    <row r="145" spans="1:10" x14ac:dyDescent="0.25">
      <c r="A145" t="s">
        <v>631</v>
      </c>
      <c r="B145" t="s">
        <v>850</v>
      </c>
      <c r="C145" s="25">
        <v>1.3527610301971436</v>
      </c>
      <c r="D145" s="25">
        <v>1.5</v>
      </c>
      <c r="E145" s="22">
        <v>36</v>
      </c>
      <c r="F145" s="22">
        <v>73</v>
      </c>
      <c r="G145" s="1" t="s">
        <v>436</v>
      </c>
      <c r="H145" s="8" t="s">
        <v>439</v>
      </c>
      <c r="J145" s="12">
        <v>1117.52</v>
      </c>
    </row>
    <row r="146" spans="1:10" x14ac:dyDescent="0.25">
      <c r="A146" t="s">
        <v>632</v>
      </c>
      <c r="B146" t="s">
        <v>850</v>
      </c>
      <c r="C146" s="25">
        <v>1.3136634826660178</v>
      </c>
      <c r="D146" s="25">
        <v>1.5</v>
      </c>
      <c r="E146" s="22">
        <v>36</v>
      </c>
      <c r="F146" s="22">
        <v>73</v>
      </c>
      <c r="G146" s="1" t="s">
        <v>436</v>
      </c>
      <c r="H146" s="8" t="s">
        <v>439</v>
      </c>
      <c r="J146" s="12">
        <v>1117.52</v>
      </c>
    </row>
    <row r="147" spans="1:10" x14ac:dyDescent="0.25">
      <c r="A147" t="s">
        <v>633</v>
      </c>
      <c r="B147" t="s">
        <v>850</v>
      </c>
      <c r="C147" s="25">
        <v>1.5145988464355475</v>
      </c>
      <c r="D147" s="25">
        <v>1.8</v>
      </c>
      <c r="E147" s="22">
        <v>36</v>
      </c>
      <c r="F147" s="22">
        <v>73</v>
      </c>
      <c r="G147" s="1" t="s">
        <v>436</v>
      </c>
      <c r="H147" s="8" t="s">
        <v>439</v>
      </c>
      <c r="J147" s="12">
        <v>1117.52</v>
      </c>
    </row>
    <row r="148" spans="1:10" x14ac:dyDescent="0.25">
      <c r="A148" t="s">
        <v>634</v>
      </c>
      <c r="B148" t="s">
        <v>850</v>
      </c>
      <c r="C148" s="25">
        <v>1.5145988464355475</v>
      </c>
      <c r="D148" s="25">
        <v>1.8</v>
      </c>
      <c r="E148" s="22">
        <v>36</v>
      </c>
      <c r="F148" s="22">
        <v>73</v>
      </c>
      <c r="G148" s="1" t="s">
        <v>436</v>
      </c>
      <c r="H148" s="8" t="s">
        <v>439</v>
      </c>
      <c r="J148" s="12">
        <v>1117.52</v>
      </c>
    </row>
    <row r="149" spans="1:10" x14ac:dyDescent="0.25">
      <c r="A149" t="s">
        <v>635</v>
      </c>
      <c r="B149" t="s">
        <v>850</v>
      </c>
      <c r="C149" s="25">
        <v>1.5145988464355484</v>
      </c>
      <c r="D149" s="25">
        <v>1.8</v>
      </c>
      <c r="E149" s="22">
        <v>36</v>
      </c>
      <c r="F149" s="22">
        <v>73</v>
      </c>
      <c r="G149" s="1" t="s">
        <v>436</v>
      </c>
      <c r="H149" s="8" t="s">
        <v>439</v>
      </c>
      <c r="J149" s="12">
        <v>1117.52</v>
      </c>
    </row>
    <row r="150" spans="1:10" x14ac:dyDescent="0.25">
      <c r="A150" t="s">
        <v>636</v>
      </c>
      <c r="B150" t="s">
        <v>850</v>
      </c>
      <c r="C150" s="25">
        <v>1.5145988464355467</v>
      </c>
      <c r="D150" s="25">
        <v>1.8</v>
      </c>
      <c r="E150" s="22">
        <v>36</v>
      </c>
      <c r="F150" s="22">
        <v>73</v>
      </c>
      <c r="G150" s="1" t="s">
        <v>436</v>
      </c>
      <c r="H150" s="8" t="s">
        <v>439</v>
      </c>
      <c r="J150" s="12">
        <v>1117.52</v>
      </c>
    </row>
    <row r="151" spans="1:10" x14ac:dyDescent="0.25">
      <c r="A151" t="s">
        <v>637</v>
      </c>
      <c r="B151" t="s">
        <v>850</v>
      </c>
      <c r="C151" s="25">
        <v>1.4033923149108884</v>
      </c>
      <c r="D151" s="25">
        <v>1.5</v>
      </c>
      <c r="E151" s="22">
        <v>36</v>
      </c>
      <c r="F151" s="22">
        <v>73</v>
      </c>
      <c r="G151" s="1" t="s">
        <v>436</v>
      </c>
      <c r="H151" s="8" t="s">
        <v>439</v>
      </c>
      <c r="J151" s="12">
        <v>1117.52</v>
      </c>
    </row>
    <row r="152" spans="1:10" x14ac:dyDescent="0.25">
      <c r="A152" t="s">
        <v>638</v>
      </c>
      <c r="B152" t="s">
        <v>850</v>
      </c>
      <c r="C152" s="25">
        <v>1.6363613605499265</v>
      </c>
      <c r="D152" s="25">
        <v>1.8</v>
      </c>
      <c r="E152" s="22">
        <v>36</v>
      </c>
      <c r="F152" s="22">
        <v>73</v>
      </c>
      <c r="G152" s="1" t="s">
        <v>436</v>
      </c>
      <c r="H152" s="8" t="s">
        <v>439</v>
      </c>
      <c r="J152" s="12">
        <v>1117.52</v>
      </c>
    </row>
    <row r="153" spans="1:10" x14ac:dyDescent="0.25">
      <c r="A153" t="s">
        <v>639</v>
      </c>
      <c r="B153" t="s">
        <v>850</v>
      </c>
      <c r="C153" s="25">
        <v>1.6363613605499261</v>
      </c>
      <c r="D153" s="25">
        <v>1.8</v>
      </c>
      <c r="E153" s="22">
        <v>36</v>
      </c>
      <c r="F153" s="22">
        <v>73</v>
      </c>
      <c r="G153" s="1" t="s">
        <v>436</v>
      </c>
      <c r="H153" s="8" t="s">
        <v>439</v>
      </c>
      <c r="J153" s="12">
        <v>1117.52</v>
      </c>
    </row>
    <row r="154" spans="1:10" x14ac:dyDescent="0.25">
      <c r="A154" t="s">
        <v>640</v>
      </c>
      <c r="B154" t="s">
        <v>850</v>
      </c>
      <c r="C154" s="25">
        <v>1.5243936777114864</v>
      </c>
      <c r="D154" s="25">
        <v>1.8</v>
      </c>
      <c r="E154" s="22">
        <v>36</v>
      </c>
      <c r="F154" s="22">
        <v>73</v>
      </c>
      <c r="G154" s="1" t="s">
        <v>436</v>
      </c>
      <c r="H154" s="8" t="s">
        <v>439</v>
      </c>
      <c r="J154" s="12">
        <v>1117.52</v>
      </c>
    </row>
    <row r="155" spans="1:10" x14ac:dyDescent="0.25">
      <c r="A155" t="s">
        <v>641</v>
      </c>
      <c r="B155" t="s">
        <v>850</v>
      </c>
      <c r="C155" s="25">
        <v>1.3341672420501716</v>
      </c>
      <c r="D155" s="25">
        <v>1.5</v>
      </c>
      <c r="E155" s="22">
        <v>36</v>
      </c>
      <c r="F155" s="22">
        <v>73</v>
      </c>
      <c r="G155" s="1" t="s">
        <v>436</v>
      </c>
      <c r="H155" s="8" t="s">
        <v>439</v>
      </c>
      <c r="J155" s="12">
        <v>1117.52</v>
      </c>
    </row>
    <row r="156" spans="1:10" x14ac:dyDescent="0.25">
      <c r="A156" t="s">
        <v>642</v>
      </c>
      <c r="B156" t="s">
        <v>850</v>
      </c>
      <c r="C156" s="25">
        <v>1.577393651008606</v>
      </c>
      <c r="D156" s="25">
        <v>1.8</v>
      </c>
      <c r="E156" s="22">
        <v>36</v>
      </c>
      <c r="F156" s="22">
        <v>73</v>
      </c>
      <c r="G156" s="1" t="s">
        <v>436</v>
      </c>
      <c r="H156" s="8" t="s">
        <v>439</v>
      </c>
      <c r="J156" s="12">
        <v>1117.52</v>
      </c>
    </row>
    <row r="157" spans="1:10" x14ac:dyDescent="0.25">
      <c r="A157" t="s">
        <v>643</v>
      </c>
      <c r="B157" t="s">
        <v>850</v>
      </c>
      <c r="C157" s="25">
        <v>1.5773936510086057</v>
      </c>
      <c r="D157" s="25">
        <v>1.8</v>
      </c>
      <c r="E157" s="22">
        <v>36</v>
      </c>
      <c r="F157" s="22">
        <v>73</v>
      </c>
      <c r="G157" s="1" t="s">
        <v>436</v>
      </c>
      <c r="H157" s="8" t="s">
        <v>439</v>
      </c>
      <c r="J157" s="12">
        <v>1117.52</v>
      </c>
    </row>
    <row r="158" spans="1:10" x14ac:dyDescent="0.25">
      <c r="A158" t="s">
        <v>644</v>
      </c>
      <c r="B158" t="s">
        <v>850</v>
      </c>
      <c r="C158" s="25">
        <v>1.5773936510086066</v>
      </c>
      <c r="D158" s="25">
        <v>1.8</v>
      </c>
      <c r="E158" s="22">
        <v>36</v>
      </c>
      <c r="F158" s="22">
        <v>73</v>
      </c>
      <c r="G158" s="1" t="s">
        <v>436</v>
      </c>
      <c r="H158" s="8" t="s">
        <v>439</v>
      </c>
      <c r="J158" s="12">
        <v>1117.52</v>
      </c>
    </row>
    <row r="159" spans="1:10" x14ac:dyDescent="0.25">
      <c r="A159" t="s">
        <v>645</v>
      </c>
      <c r="B159" t="s">
        <v>850</v>
      </c>
      <c r="C159" s="25">
        <v>1.5773936510086066</v>
      </c>
      <c r="D159" s="25">
        <v>1.8</v>
      </c>
      <c r="E159" s="22">
        <v>36</v>
      </c>
      <c r="F159" s="22">
        <v>73</v>
      </c>
      <c r="G159" s="1" t="s">
        <v>436</v>
      </c>
      <c r="H159" s="8" t="s">
        <v>439</v>
      </c>
      <c r="J159" s="12">
        <v>1117.52</v>
      </c>
    </row>
    <row r="160" spans="1:10" x14ac:dyDescent="0.25">
      <c r="A160" t="s">
        <v>646</v>
      </c>
      <c r="B160" t="s">
        <v>850</v>
      </c>
      <c r="C160" s="25">
        <v>1.33416724205017</v>
      </c>
      <c r="D160" s="25">
        <v>1.5</v>
      </c>
      <c r="E160" s="22">
        <v>36</v>
      </c>
      <c r="F160" s="22">
        <v>73</v>
      </c>
      <c r="G160" s="1" t="s">
        <v>436</v>
      </c>
      <c r="H160" s="8" t="s">
        <v>439</v>
      </c>
      <c r="J160" s="12">
        <v>1117.52</v>
      </c>
    </row>
    <row r="161" spans="1:10" x14ac:dyDescent="0.25">
      <c r="A161" t="s">
        <v>647</v>
      </c>
      <c r="B161" t="s">
        <v>850</v>
      </c>
      <c r="C161" s="25">
        <v>1.577393651008606</v>
      </c>
      <c r="D161" s="25">
        <v>1.8</v>
      </c>
      <c r="E161" s="22">
        <v>36</v>
      </c>
      <c r="F161" s="22">
        <v>73</v>
      </c>
      <c r="G161" s="1" t="s">
        <v>436</v>
      </c>
      <c r="H161" s="8" t="s">
        <v>439</v>
      </c>
      <c r="J161" s="12">
        <v>1117.52</v>
      </c>
    </row>
    <row r="162" spans="1:10" x14ac:dyDescent="0.25">
      <c r="A162" t="s">
        <v>648</v>
      </c>
      <c r="B162" t="s">
        <v>850</v>
      </c>
      <c r="C162" s="25">
        <v>1.5773936510086066</v>
      </c>
      <c r="D162" s="25">
        <v>1.8</v>
      </c>
      <c r="E162" s="22">
        <v>36</v>
      </c>
      <c r="F162" s="22">
        <v>73</v>
      </c>
      <c r="G162" s="1" t="s">
        <v>436</v>
      </c>
      <c r="H162" s="8" t="s">
        <v>439</v>
      </c>
      <c r="J162" s="12">
        <v>1117.52</v>
      </c>
    </row>
    <row r="163" spans="1:10" x14ac:dyDescent="0.25">
      <c r="A163" t="s">
        <v>649</v>
      </c>
      <c r="B163" t="s">
        <v>850</v>
      </c>
      <c r="C163" s="25">
        <v>1.5773936510086062</v>
      </c>
      <c r="D163" s="25">
        <v>1.8</v>
      </c>
      <c r="E163" s="22">
        <v>36</v>
      </c>
      <c r="F163" s="22">
        <v>73</v>
      </c>
      <c r="G163" s="1" t="s">
        <v>436</v>
      </c>
      <c r="H163" s="8" t="s">
        <v>439</v>
      </c>
      <c r="J163" s="12">
        <v>1117.52</v>
      </c>
    </row>
    <row r="164" spans="1:10" x14ac:dyDescent="0.25">
      <c r="A164" t="s">
        <v>650</v>
      </c>
      <c r="B164" t="s">
        <v>850</v>
      </c>
      <c r="C164" s="25">
        <v>1.5773936510086057</v>
      </c>
      <c r="D164" s="25">
        <v>1.8</v>
      </c>
      <c r="E164" s="22">
        <v>36</v>
      </c>
      <c r="F164" s="22">
        <v>73</v>
      </c>
      <c r="G164" s="1" t="s">
        <v>436</v>
      </c>
      <c r="H164" s="8" t="s">
        <v>439</v>
      </c>
      <c r="J164" s="12">
        <v>1117.52</v>
      </c>
    </row>
    <row r="165" spans="1:10" x14ac:dyDescent="0.25">
      <c r="A165" t="s">
        <v>651</v>
      </c>
      <c r="B165" t="s">
        <v>850</v>
      </c>
      <c r="C165" s="25">
        <v>1.1871343851089451</v>
      </c>
      <c r="D165" s="25">
        <v>1.2</v>
      </c>
      <c r="E165" s="22">
        <v>36</v>
      </c>
      <c r="F165" s="22">
        <v>73</v>
      </c>
      <c r="G165" s="1" t="s">
        <v>436</v>
      </c>
      <c r="H165" s="8" t="s">
        <v>439</v>
      </c>
      <c r="J165" s="12">
        <v>1117.52</v>
      </c>
    </row>
    <row r="166" spans="1:10" x14ac:dyDescent="0.25">
      <c r="A166" t="s">
        <v>652</v>
      </c>
      <c r="B166" t="s">
        <v>850</v>
      </c>
      <c r="C166" s="25">
        <v>1.4050538539886459</v>
      </c>
      <c r="D166" s="25">
        <v>1.5</v>
      </c>
      <c r="E166" s="22">
        <v>36</v>
      </c>
      <c r="F166" s="22">
        <v>73</v>
      </c>
      <c r="G166" s="1" t="s">
        <v>436</v>
      </c>
      <c r="H166" s="8" t="s">
        <v>439</v>
      </c>
      <c r="J166" s="12">
        <v>1117.52</v>
      </c>
    </row>
    <row r="167" spans="1:10" x14ac:dyDescent="0.25">
      <c r="A167" t="s">
        <v>653</v>
      </c>
      <c r="B167" t="s">
        <v>850</v>
      </c>
      <c r="C167" s="25">
        <v>1.4050538539886439</v>
      </c>
      <c r="D167" s="25">
        <v>1.5</v>
      </c>
      <c r="E167" s="22">
        <v>36</v>
      </c>
      <c r="F167" s="22">
        <v>73</v>
      </c>
      <c r="G167" s="1" t="s">
        <v>436</v>
      </c>
      <c r="H167" s="8" t="s">
        <v>439</v>
      </c>
      <c r="J167" s="12">
        <v>1117.52</v>
      </c>
    </row>
    <row r="168" spans="1:10" x14ac:dyDescent="0.25">
      <c r="A168" t="s">
        <v>654</v>
      </c>
      <c r="B168" t="s">
        <v>850</v>
      </c>
      <c r="C168" s="25">
        <v>1.4050538539886506</v>
      </c>
      <c r="D168" s="25">
        <v>1.5</v>
      </c>
      <c r="E168" s="22">
        <v>36</v>
      </c>
      <c r="F168" s="22">
        <v>73</v>
      </c>
      <c r="G168" s="1" t="s">
        <v>436</v>
      </c>
      <c r="H168" s="8" t="s">
        <v>439</v>
      </c>
      <c r="J168" s="12">
        <v>1117.52</v>
      </c>
    </row>
    <row r="169" spans="1:10" x14ac:dyDescent="0.25">
      <c r="A169" t="s">
        <v>655</v>
      </c>
      <c r="B169" t="s">
        <v>850</v>
      </c>
      <c r="C169" s="25">
        <v>1.0784188508987427</v>
      </c>
      <c r="D169" s="25">
        <v>1.2</v>
      </c>
      <c r="E169" s="22">
        <v>36</v>
      </c>
      <c r="F169" s="22">
        <v>73</v>
      </c>
      <c r="G169" s="1" t="s">
        <v>436</v>
      </c>
      <c r="H169" s="8" t="s">
        <v>439</v>
      </c>
      <c r="J169" s="12">
        <v>1117.52</v>
      </c>
    </row>
    <row r="170" spans="1:10" x14ac:dyDescent="0.25">
      <c r="A170" t="s">
        <v>656</v>
      </c>
      <c r="B170" t="s">
        <v>850</v>
      </c>
      <c r="C170" s="25">
        <v>1.1871343851089471</v>
      </c>
      <c r="D170" s="25">
        <v>1.2</v>
      </c>
      <c r="E170" s="22">
        <v>36</v>
      </c>
      <c r="F170" s="22">
        <v>73</v>
      </c>
      <c r="G170" s="1" t="s">
        <v>436</v>
      </c>
      <c r="H170" s="8" t="s">
        <v>439</v>
      </c>
      <c r="J170" s="12">
        <v>1117.52</v>
      </c>
    </row>
    <row r="171" spans="1:10" x14ac:dyDescent="0.25">
      <c r="A171" t="s">
        <v>657</v>
      </c>
      <c r="B171" t="s">
        <v>850</v>
      </c>
      <c r="C171" s="25">
        <v>1.4050538539886461</v>
      </c>
      <c r="D171" s="25">
        <v>1.5</v>
      </c>
      <c r="E171" s="22">
        <v>36</v>
      </c>
      <c r="F171" s="22">
        <v>73</v>
      </c>
      <c r="G171" s="1" t="s">
        <v>436</v>
      </c>
      <c r="H171" s="8" t="s">
        <v>439</v>
      </c>
      <c r="J171" s="12">
        <v>1117.52</v>
      </c>
    </row>
    <row r="172" spans="1:10" x14ac:dyDescent="0.25">
      <c r="A172" t="s">
        <v>658</v>
      </c>
      <c r="B172" t="s">
        <v>850</v>
      </c>
      <c r="C172" s="25">
        <v>1.4050538539886457</v>
      </c>
      <c r="D172" s="25">
        <v>1.5</v>
      </c>
      <c r="E172" s="22">
        <v>36</v>
      </c>
      <c r="F172" s="22">
        <v>73</v>
      </c>
      <c r="G172" s="1" t="s">
        <v>436</v>
      </c>
      <c r="H172" s="8" t="s">
        <v>439</v>
      </c>
      <c r="J172" s="12">
        <v>1117.52</v>
      </c>
    </row>
    <row r="173" spans="1:10" x14ac:dyDescent="0.25">
      <c r="A173" t="s">
        <v>659</v>
      </c>
      <c r="B173" t="s">
        <v>850</v>
      </c>
      <c r="C173" s="25">
        <v>1.4050538539886483</v>
      </c>
      <c r="D173" s="25">
        <v>1.5</v>
      </c>
      <c r="E173" s="22">
        <v>36</v>
      </c>
      <c r="F173" s="22">
        <v>73</v>
      </c>
      <c r="G173" s="1" t="s">
        <v>436</v>
      </c>
      <c r="H173" s="8" t="s">
        <v>439</v>
      </c>
      <c r="J173" s="12">
        <v>1117.52</v>
      </c>
    </row>
    <row r="174" spans="1:10" x14ac:dyDescent="0.25">
      <c r="A174" t="s">
        <v>660</v>
      </c>
      <c r="B174" t="s">
        <v>850</v>
      </c>
      <c r="C174" s="25">
        <v>1.0784188508987429</v>
      </c>
      <c r="D174" s="25">
        <v>1.2</v>
      </c>
      <c r="E174" s="22">
        <v>36</v>
      </c>
      <c r="F174" s="22">
        <v>73</v>
      </c>
      <c r="G174" s="1" t="s">
        <v>436</v>
      </c>
      <c r="H174" s="8" t="s">
        <v>439</v>
      </c>
      <c r="J174" s="12">
        <v>1117.52</v>
      </c>
    </row>
    <row r="175" spans="1:10" x14ac:dyDescent="0.25">
      <c r="A175" t="s">
        <v>661</v>
      </c>
      <c r="B175" t="s">
        <v>850</v>
      </c>
      <c r="C175" s="25">
        <v>1.1837812662124645</v>
      </c>
      <c r="D175" s="25">
        <v>1.2</v>
      </c>
      <c r="E175" s="22">
        <v>36</v>
      </c>
      <c r="F175" s="22">
        <v>73</v>
      </c>
      <c r="G175" s="1" t="s">
        <v>436</v>
      </c>
      <c r="H175" s="8" t="s">
        <v>439</v>
      </c>
      <c r="J175" s="12">
        <v>1117.52</v>
      </c>
    </row>
    <row r="176" spans="1:10" x14ac:dyDescent="0.25">
      <c r="A176" t="s">
        <v>662</v>
      </c>
      <c r="B176" t="s">
        <v>850</v>
      </c>
      <c r="C176" s="25">
        <v>1.4120701551437376</v>
      </c>
      <c r="D176" s="25">
        <v>1.5</v>
      </c>
      <c r="E176" s="22">
        <v>36</v>
      </c>
      <c r="F176" s="22">
        <v>73</v>
      </c>
      <c r="G176" s="1" t="s">
        <v>436</v>
      </c>
      <c r="H176" s="8" t="s">
        <v>439</v>
      </c>
      <c r="J176" s="12">
        <v>1117.52</v>
      </c>
    </row>
    <row r="177" spans="1:10" x14ac:dyDescent="0.25">
      <c r="A177" t="s">
        <v>663</v>
      </c>
      <c r="B177" t="s">
        <v>850</v>
      </c>
      <c r="C177" s="25">
        <v>1.4120701551437371</v>
      </c>
      <c r="D177" s="25">
        <v>1.5</v>
      </c>
      <c r="E177" s="22">
        <v>36</v>
      </c>
      <c r="F177" s="22">
        <v>73</v>
      </c>
      <c r="G177" s="1" t="s">
        <v>436</v>
      </c>
      <c r="H177" s="8" t="s">
        <v>439</v>
      </c>
      <c r="J177" s="12">
        <v>1117.52</v>
      </c>
    </row>
    <row r="178" spans="1:10" x14ac:dyDescent="0.25">
      <c r="A178" t="s">
        <v>664</v>
      </c>
      <c r="B178" t="s">
        <v>850</v>
      </c>
      <c r="C178" s="25">
        <v>1.4120701551437382</v>
      </c>
      <c r="D178" s="25">
        <v>1.5</v>
      </c>
      <c r="E178" s="22">
        <v>36</v>
      </c>
      <c r="F178" s="22">
        <v>73</v>
      </c>
      <c r="G178" s="1" t="s">
        <v>436</v>
      </c>
      <c r="H178" s="8" t="s">
        <v>439</v>
      </c>
      <c r="J178" s="12">
        <v>1117.52</v>
      </c>
    </row>
    <row r="179" spans="1:10" x14ac:dyDescent="0.25">
      <c r="A179" t="s">
        <v>665</v>
      </c>
      <c r="B179" t="s">
        <v>850</v>
      </c>
      <c r="C179" s="25">
        <v>1.1837811470031752</v>
      </c>
      <c r="D179" s="25">
        <v>1.2</v>
      </c>
      <c r="E179" s="22">
        <v>36</v>
      </c>
      <c r="F179" s="22">
        <v>73</v>
      </c>
      <c r="G179" s="1" t="s">
        <v>436</v>
      </c>
      <c r="H179" s="8" t="s">
        <v>439</v>
      </c>
      <c r="J179" s="12">
        <v>1117.52</v>
      </c>
    </row>
    <row r="180" spans="1:10" x14ac:dyDescent="0.25">
      <c r="A180" t="s">
        <v>666</v>
      </c>
      <c r="B180" t="s">
        <v>850</v>
      </c>
      <c r="C180" s="25">
        <v>1.4120701551437378</v>
      </c>
      <c r="D180" s="25">
        <v>1.5</v>
      </c>
      <c r="E180" s="22">
        <v>36</v>
      </c>
      <c r="F180" s="22">
        <v>73</v>
      </c>
      <c r="G180" s="1" t="s">
        <v>436</v>
      </c>
      <c r="H180" s="8" t="s">
        <v>439</v>
      </c>
      <c r="J180" s="12">
        <v>1117.52</v>
      </c>
    </row>
    <row r="181" spans="1:10" x14ac:dyDescent="0.25">
      <c r="A181" t="s">
        <v>667</v>
      </c>
      <c r="B181" t="s">
        <v>850</v>
      </c>
      <c r="C181" s="25">
        <v>1.4120701551437389</v>
      </c>
      <c r="D181" s="25">
        <v>1.5</v>
      </c>
      <c r="E181" s="22">
        <v>36</v>
      </c>
      <c r="F181" s="22">
        <v>73</v>
      </c>
      <c r="G181" s="1" t="s">
        <v>436</v>
      </c>
      <c r="H181" s="8" t="s">
        <v>439</v>
      </c>
      <c r="J181" s="12">
        <v>1117.52</v>
      </c>
    </row>
    <row r="182" spans="1:10" x14ac:dyDescent="0.25">
      <c r="A182" t="s">
        <v>668</v>
      </c>
      <c r="B182" t="s">
        <v>850</v>
      </c>
      <c r="C182" s="25">
        <v>1.4120701551437373</v>
      </c>
      <c r="D182" s="25">
        <v>1.5</v>
      </c>
      <c r="E182" s="22">
        <v>36</v>
      </c>
      <c r="F182" s="22">
        <v>73</v>
      </c>
      <c r="G182" s="1" t="s">
        <v>436</v>
      </c>
      <c r="H182" s="8" t="s">
        <v>439</v>
      </c>
      <c r="J182" s="12">
        <v>1117.52</v>
      </c>
    </row>
    <row r="183" spans="1:10" x14ac:dyDescent="0.25">
      <c r="A183" t="s">
        <v>669</v>
      </c>
      <c r="B183" t="s">
        <v>850</v>
      </c>
      <c r="C183" s="25">
        <v>1.3322970867156962</v>
      </c>
      <c r="D183" s="25">
        <v>1.5</v>
      </c>
      <c r="E183" s="22">
        <v>36</v>
      </c>
      <c r="F183" s="22">
        <v>73</v>
      </c>
      <c r="G183" s="1" t="s">
        <v>436</v>
      </c>
      <c r="H183" s="8" t="s">
        <v>439</v>
      </c>
      <c r="J183" s="12">
        <v>1117.52</v>
      </c>
    </row>
    <row r="184" spans="1:10" x14ac:dyDescent="0.25">
      <c r="A184" t="s">
        <v>670</v>
      </c>
      <c r="B184" t="s">
        <v>850</v>
      </c>
      <c r="C184" s="25">
        <v>1.3322970867156974</v>
      </c>
      <c r="D184" s="25">
        <v>1.5</v>
      </c>
      <c r="E184" s="22">
        <v>36</v>
      </c>
      <c r="F184" s="22">
        <v>73</v>
      </c>
      <c r="G184" s="1" t="s">
        <v>436</v>
      </c>
      <c r="H184" s="8" t="s">
        <v>439</v>
      </c>
      <c r="J184" s="12">
        <v>1117.52</v>
      </c>
    </row>
    <row r="185" spans="1:10" x14ac:dyDescent="0.25">
      <c r="A185" t="s">
        <v>671</v>
      </c>
      <c r="B185" t="s">
        <v>850</v>
      </c>
      <c r="C185" s="25">
        <v>1.3322970867156962</v>
      </c>
      <c r="D185" s="25">
        <v>1.5</v>
      </c>
      <c r="E185" s="22">
        <v>36</v>
      </c>
      <c r="F185" s="22">
        <v>73</v>
      </c>
      <c r="G185" s="1" t="s">
        <v>436</v>
      </c>
      <c r="H185" s="8" t="s">
        <v>439</v>
      </c>
      <c r="J185" s="12">
        <v>1117.52</v>
      </c>
    </row>
    <row r="186" spans="1:10" x14ac:dyDescent="0.25">
      <c r="A186" t="s">
        <v>672</v>
      </c>
      <c r="B186" t="s">
        <v>850</v>
      </c>
      <c r="C186" s="25">
        <v>1.3322970867157007</v>
      </c>
      <c r="D186" s="25">
        <v>1.5</v>
      </c>
      <c r="E186" s="22">
        <v>36</v>
      </c>
      <c r="F186" s="22">
        <v>73</v>
      </c>
      <c r="G186" s="1" t="s">
        <v>436</v>
      </c>
      <c r="H186" s="8" t="s">
        <v>439</v>
      </c>
      <c r="J186" s="12">
        <v>1117.52</v>
      </c>
    </row>
    <row r="187" spans="1:10" x14ac:dyDescent="0.25">
      <c r="A187" t="s">
        <v>673</v>
      </c>
      <c r="B187" t="s">
        <v>850</v>
      </c>
      <c r="C187" s="25">
        <v>1.3322970867157009</v>
      </c>
      <c r="D187" s="25">
        <v>1.5</v>
      </c>
      <c r="E187" s="22">
        <v>36</v>
      </c>
      <c r="F187" s="22">
        <v>73</v>
      </c>
      <c r="G187" s="1" t="s">
        <v>436</v>
      </c>
      <c r="H187" s="8" t="s">
        <v>439</v>
      </c>
      <c r="J187" s="12">
        <v>1117.52</v>
      </c>
    </row>
    <row r="188" spans="1:10" x14ac:dyDescent="0.25">
      <c r="A188" t="s">
        <v>674</v>
      </c>
      <c r="B188" t="s">
        <v>850</v>
      </c>
      <c r="C188" s="25">
        <v>1.3322970867156989</v>
      </c>
      <c r="D188" s="25">
        <v>1.5</v>
      </c>
      <c r="E188" s="22">
        <v>36</v>
      </c>
      <c r="F188" s="22">
        <v>73</v>
      </c>
      <c r="G188" s="1" t="s">
        <v>436</v>
      </c>
      <c r="H188" s="8" t="s">
        <v>439</v>
      </c>
      <c r="J188" s="12">
        <v>1117.52</v>
      </c>
    </row>
    <row r="189" spans="1:10" x14ac:dyDescent="0.25">
      <c r="A189" t="s">
        <v>675</v>
      </c>
      <c r="B189" t="s">
        <v>850</v>
      </c>
      <c r="C189" s="25">
        <v>1.336418032646179</v>
      </c>
      <c r="D189" s="25">
        <v>1.5</v>
      </c>
      <c r="E189" s="22">
        <v>36</v>
      </c>
      <c r="F189" s="22">
        <v>73</v>
      </c>
      <c r="G189" s="1" t="s">
        <v>436</v>
      </c>
      <c r="H189" s="8" t="s">
        <v>439</v>
      </c>
      <c r="J189" s="12">
        <v>1117.52</v>
      </c>
    </row>
    <row r="190" spans="1:10" x14ac:dyDescent="0.25">
      <c r="A190" t="s">
        <v>676</v>
      </c>
      <c r="B190" t="s">
        <v>850</v>
      </c>
      <c r="C190" s="25">
        <v>1.3364180326461792</v>
      </c>
      <c r="D190" s="25">
        <v>1.5</v>
      </c>
      <c r="E190" s="22">
        <v>36</v>
      </c>
      <c r="F190" s="22">
        <v>73</v>
      </c>
      <c r="G190" s="1" t="s">
        <v>436</v>
      </c>
      <c r="H190" s="8" t="s">
        <v>439</v>
      </c>
      <c r="J190" s="12">
        <v>1117.52</v>
      </c>
    </row>
    <row r="191" spans="1:10" x14ac:dyDescent="0.25">
      <c r="A191" t="s">
        <v>677</v>
      </c>
      <c r="B191" t="s">
        <v>850</v>
      </c>
      <c r="C191" s="25">
        <v>1.3364180326461794</v>
      </c>
      <c r="D191" s="25">
        <v>1.5</v>
      </c>
      <c r="E191" s="22">
        <v>36</v>
      </c>
      <c r="F191" s="22">
        <v>73</v>
      </c>
      <c r="G191" s="1" t="s">
        <v>436</v>
      </c>
      <c r="H191" s="8" t="s">
        <v>439</v>
      </c>
      <c r="J191" s="12">
        <v>1117.52</v>
      </c>
    </row>
    <row r="192" spans="1:10" x14ac:dyDescent="0.25">
      <c r="A192" t="s">
        <v>678</v>
      </c>
      <c r="B192" t="s">
        <v>850</v>
      </c>
      <c r="C192" s="25">
        <v>1.3364180326461796</v>
      </c>
      <c r="D192" s="25">
        <v>1.5</v>
      </c>
      <c r="E192" s="22">
        <v>36</v>
      </c>
      <c r="F192" s="22">
        <v>73</v>
      </c>
      <c r="G192" s="1" t="s">
        <v>436</v>
      </c>
      <c r="H192" s="8" t="s">
        <v>439</v>
      </c>
      <c r="J192" s="12">
        <v>1117.52</v>
      </c>
    </row>
    <row r="193" spans="1:10" x14ac:dyDescent="0.25">
      <c r="A193" t="s">
        <v>679</v>
      </c>
      <c r="B193" t="s">
        <v>850</v>
      </c>
      <c r="C193" s="25">
        <v>1.2525421380996711</v>
      </c>
      <c r="D193" s="25">
        <v>1.5</v>
      </c>
      <c r="E193" s="22">
        <v>36</v>
      </c>
      <c r="F193" s="22">
        <v>73</v>
      </c>
      <c r="G193" s="1" t="s">
        <v>436</v>
      </c>
      <c r="H193" s="8" t="s">
        <v>439</v>
      </c>
      <c r="J193" s="12">
        <v>1117.52</v>
      </c>
    </row>
    <row r="194" spans="1:10" x14ac:dyDescent="0.25">
      <c r="A194" t="s">
        <v>680</v>
      </c>
      <c r="B194" t="s">
        <v>850</v>
      </c>
      <c r="C194" s="25">
        <v>1.4607361555099487</v>
      </c>
      <c r="D194" s="25">
        <v>1.5</v>
      </c>
      <c r="E194" s="22">
        <v>36</v>
      </c>
      <c r="F194" s="22">
        <v>73</v>
      </c>
      <c r="G194" s="1" t="s">
        <v>436</v>
      </c>
      <c r="H194" s="8" t="s">
        <v>439</v>
      </c>
      <c r="J194" s="12">
        <v>1117.52</v>
      </c>
    </row>
    <row r="195" spans="1:10" x14ac:dyDescent="0.25">
      <c r="A195" t="s">
        <v>681</v>
      </c>
      <c r="B195" t="s">
        <v>850</v>
      </c>
      <c r="C195" s="25">
        <v>1.4607361555099494</v>
      </c>
      <c r="D195" s="25">
        <v>1.5</v>
      </c>
      <c r="E195" s="22">
        <v>36</v>
      </c>
      <c r="F195" s="22">
        <v>73</v>
      </c>
      <c r="G195" s="1" t="s">
        <v>436</v>
      </c>
      <c r="H195" s="8" t="s">
        <v>439</v>
      </c>
      <c r="J195" s="12">
        <v>1117.52</v>
      </c>
    </row>
    <row r="196" spans="1:10" x14ac:dyDescent="0.25">
      <c r="A196" t="s">
        <v>682</v>
      </c>
      <c r="B196" t="s">
        <v>850</v>
      </c>
      <c r="C196" s="25">
        <v>1.4607361555099496</v>
      </c>
      <c r="D196" s="25">
        <v>1.5</v>
      </c>
      <c r="E196" s="22">
        <v>36</v>
      </c>
      <c r="F196" s="22">
        <v>73</v>
      </c>
      <c r="G196" s="1" t="s">
        <v>436</v>
      </c>
      <c r="H196" s="8" t="s">
        <v>439</v>
      </c>
      <c r="J196" s="12">
        <v>1117.52</v>
      </c>
    </row>
    <row r="197" spans="1:10" x14ac:dyDescent="0.25">
      <c r="A197" t="s">
        <v>683</v>
      </c>
      <c r="B197" t="s">
        <v>850</v>
      </c>
      <c r="C197" s="25">
        <v>1.2367801666259775</v>
      </c>
      <c r="D197" s="25">
        <v>1.5</v>
      </c>
      <c r="E197" s="22">
        <v>36</v>
      </c>
      <c r="F197" s="22">
        <v>73</v>
      </c>
      <c r="G197" s="1" t="s">
        <v>436</v>
      </c>
      <c r="H197" s="8" t="s">
        <v>439</v>
      </c>
      <c r="J197" s="12">
        <v>1117.52</v>
      </c>
    </row>
    <row r="198" spans="1:10" x14ac:dyDescent="0.25">
      <c r="A198" t="s">
        <v>684</v>
      </c>
      <c r="B198" t="s">
        <v>850</v>
      </c>
      <c r="C198" s="25">
        <v>1.2525420188903789</v>
      </c>
      <c r="D198" s="25">
        <v>1.5</v>
      </c>
      <c r="E198" s="22">
        <v>36</v>
      </c>
      <c r="F198" s="22">
        <v>73</v>
      </c>
      <c r="G198" s="1" t="s">
        <v>436</v>
      </c>
      <c r="H198" s="8" t="s">
        <v>439</v>
      </c>
      <c r="J198" s="12">
        <v>1117.52</v>
      </c>
    </row>
    <row r="199" spans="1:10" x14ac:dyDescent="0.25">
      <c r="A199" t="s">
        <v>685</v>
      </c>
      <c r="B199" t="s">
        <v>850</v>
      </c>
      <c r="C199" s="25">
        <v>1.4607360363006585</v>
      </c>
      <c r="D199" s="25">
        <v>1.5</v>
      </c>
      <c r="E199" s="22">
        <v>36</v>
      </c>
      <c r="F199" s="22">
        <v>73</v>
      </c>
      <c r="G199" s="1" t="s">
        <v>436</v>
      </c>
      <c r="H199" s="8" t="s">
        <v>439</v>
      </c>
      <c r="J199" s="12">
        <v>1117.52</v>
      </c>
    </row>
    <row r="200" spans="1:10" x14ac:dyDescent="0.25">
      <c r="A200" t="s">
        <v>686</v>
      </c>
      <c r="B200" t="s">
        <v>850</v>
      </c>
      <c r="C200" s="25">
        <v>1.4607360363006603</v>
      </c>
      <c r="D200" s="25">
        <v>1.5</v>
      </c>
      <c r="E200" s="22">
        <v>36</v>
      </c>
      <c r="F200" s="22">
        <v>73</v>
      </c>
      <c r="G200" s="1" t="s">
        <v>436</v>
      </c>
      <c r="H200" s="8" t="s">
        <v>439</v>
      </c>
      <c r="J200" s="12">
        <v>1117.52</v>
      </c>
    </row>
    <row r="201" spans="1:10" x14ac:dyDescent="0.25">
      <c r="A201" t="s">
        <v>687</v>
      </c>
      <c r="B201" t="s">
        <v>850</v>
      </c>
      <c r="C201" s="25">
        <v>1.4607360363006594</v>
      </c>
      <c r="D201" s="25">
        <v>1.5</v>
      </c>
      <c r="E201" s="22">
        <v>36</v>
      </c>
      <c r="F201" s="22">
        <v>73</v>
      </c>
      <c r="G201" s="1" t="s">
        <v>436</v>
      </c>
      <c r="H201" s="8" t="s">
        <v>439</v>
      </c>
      <c r="J201" s="12">
        <v>1117.52</v>
      </c>
    </row>
    <row r="202" spans="1:10" x14ac:dyDescent="0.25">
      <c r="A202" t="s">
        <v>688</v>
      </c>
      <c r="B202" t="s">
        <v>850</v>
      </c>
      <c r="C202" s="25">
        <v>1.236780166625977</v>
      </c>
      <c r="D202" s="25">
        <v>1.5</v>
      </c>
      <c r="E202" s="22">
        <v>36</v>
      </c>
      <c r="F202" s="22">
        <v>73</v>
      </c>
      <c r="G202" s="1" t="s">
        <v>436</v>
      </c>
      <c r="H202" s="8" t="s">
        <v>439</v>
      </c>
      <c r="J202" s="12">
        <v>1117.52</v>
      </c>
    </row>
    <row r="203" spans="1:10" x14ac:dyDescent="0.25">
      <c r="A203" t="s">
        <v>689</v>
      </c>
      <c r="B203" t="s">
        <v>850</v>
      </c>
      <c r="C203" s="25">
        <v>1.22573471069336</v>
      </c>
      <c r="D203" s="25">
        <v>1.5</v>
      </c>
      <c r="E203" s="22">
        <v>36</v>
      </c>
      <c r="F203" s="22">
        <v>73</v>
      </c>
      <c r="G203" s="1" t="s">
        <v>436</v>
      </c>
      <c r="H203" s="8" t="s">
        <v>439</v>
      </c>
      <c r="J203" s="12">
        <v>1117.52</v>
      </c>
    </row>
    <row r="204" spans="1:10" x14ac:dyDescent="0.25">
      <c r="A204" t="s">
        <v>690</v>
      </c>
      <c r="B204" t="s">
        <v>850</v>
      </c>
      <c r="C204" s="25">
        <v>1.3082426786422734</v>
      </c>
      <c r="D204" s="25">
        <v>1.5</v>
      </c>
      <c r="E204" s="22">
        <v>36</v>
      </c>
      <c r="F204" s="22">
        <v>73</v>
      </c>
      <c r="G204" s="1" t="s">
        <v>436</v>
      </c>
      <c r="H204" s="8" t="s">
        <v>439</v>
      </c>
      <c r="J204" s="12">
        <v>1117.52</v>
      </c>
    </row>
    <row r="205" spans="1:10" x14ac:dyDescent="0.25">
      <c r="A205" t="s">
        <v>691</v>
      </c>
      <c r="B205" t="s">
        <v>850</v>
      </c>
      <c r="C205" s="25">
        <v>1.5073699951171873</v>
      </c>
      <c r="D205" s="25">
        <v>1.8</v>
      </c>
      <c r="E205" s="22">
        <v>36</v>
      </c>
      <c r="F205" s="22">
        <v>73</v>
      </c>
      <c r="G205" s="1" t="s">
        <v>436</v>
      </c>
      <c r="H205" s="8" t="s">
        <v>439</v>
      </c>
      <c r="J205" s="12">
        <v>1117.52</v>
      </c>
    </row>
    <row r="206" spans="1:10" x14ac:dyDescent="0.25">
      <c r="A206" t="s">
        <v>692</v>
      </c>
      <c r="B206" t="s">
        <v>850</v>
      </c>
      <c r="C206" s="25">
        <v>1.5073699951171875</v>
      </c>
      <c r="D206" s="25">
        <v>1.8</v>
      </c>
      <c r="E206" s="22">
        <v>36</v>
      </c>
      <c r="F206" s="22">
        <v>73</v>
      </c>
      <c r="G206" s="1" t="s">
        <v>436</v>
      </c>
      <c r="H206" s="8" t="s">
        <v>439</v>
      </c>
      <c r="J206" s="12">
        <v>1117.52</v>
      </c>
    </row>
    <row r="207" spans="1:10" x14ac:dyDescent="0.25">
      <c r="A207" t="s">
        <v>693</v>
      </c>
      <c r="B207" t="s">
        <v>850</v>
      </c>
      <c r="C207" s="25">
        <v>1.5073699951171877</v>
      </c>
      <c r="D207" s="25">
        <v>1.8</v>
      </c>
      <c r="E207" s="22">
        <v>36</v>
      </c>
      <c r="F207" s="22">
        <v>73</v>
      </c>
      <c r="G207" s="1" t="s">
        <v>436</v>
      </c>
      <c r="H207" s="8" t="s">
        <v>439</v>
      </c>
      <c r="J207" s="12">
        <v>1117.52</v>
      </c>
    </row>
    <row r="208" spans="1:10" x14ac:dyDescent="0.25">
      <c r="A208" t="s">
        <v>694</v>
      </c>
      <c r="B208" t="s">
        <v>850</v>
      </c>
      <c r="C208" s="25">
        <v>1.2246865034103398</v>
      </c>
      <c r="D208" s="25">
        <v>1.5</v>
      </c>
      <c r="E208" s="22">
        <v>36</v>
      </c>
      <c r="F208" s="22">
        <v>73</v>
      </c>
      <c r="G208" s="1" t="s">
        <v>436</v>
      </c>
      <c r="H208" s="8" t="s">
        <v>439</v>
      </c>
      <c r="J208" s="12">
        <v>1117.52</v>
      </c>
    </row>
    <row r="209" spans="1:10" x14ac:dyDescent="0.25">
      <c r="A209" t="s">
        <v>695</v>
      </c>
      <c r="B209" t="s">
        <v>850</v>
      </c>
      <c r="C209" s="25">
        <v>1.2944515943527224</v>
      </c>
      <c r="D209" s="25">
        <v>1.5</v>
      </c>
      <c r="E209" s="22">
        <v>36</v>
      </c>
      <c r="F209" s="22">
        <v>73</v>
      </c>
      <c r="G209" s="1" t="s">
        <v>436</v>
      </c>
      <c r="H209" s="8" t="s">
        <v>439</v>
      </c>
      <c r="J209" s="12">
        <v>1117.52</v>
      </c>
    </row>
    <row r="210" spans="1:10" x14ac:dyDescent="0.25">
      <c r="A210" t="s">
        <v>696</v>
      </c>
      <c r="B210" t="s">
        <v>850</v>
      </c>
      <c r="C210" s="25">
        <v>1.3157118558883669</v>
      </c>
      <c r="D210" s="25">
        <v>1.5</v>
      </c>
      <c r="E210" s="22">
        <v>36</v>
      </c>
      <c r="F210" s="22">
        <v>73</v>
      </c>
      <c r="G210" s="1" t="s">
        <v>436</v>
      </c>
      <c r="H210" s="8" t="s">
        <v>439</v>
      </c>
      <c r="J210" s="12">
        <v>1117.52</v>
      </c>
    </row>
    <row r="211" spans="1:10" x14ac:dyDescent="0.25">
      <c r="A211" t="s">
        <v>697</v>
      </c>
      <c r="B211" t="s">
        <v>850</v>
      </c>
      <c r="C211" s="25">
        <v>1.3157118558883665</v>
      </c>
      <c r="D211" s="25">
        <v>1.5</v>
      </c>
      <c r="E211" s="22">
        <v>36</v>
      </c>
      <c r="F211" s="22">
        <v>73</v>
      </c>
      <c r="G211" s="1" t="s">
        <v>436</v>
      </c>
      <c r="H211" s="8" t="s">
        <v>439</v>
      </c>
      <c r="J211" s="12">
        <v>1117.52</v>
      </c>
    </row>
    <row r="212" spans="1:10" x14ac:dyDescent="0.25">
      <c r="A212" t="s">
        <v>698</v>
      </c>
      <c r="B212" t="s">
        <v>850</v>
      </c>
      <c r="C212" s="25">
        <v>1.3292766809463505</v>
      </c>
      <c r="D212" s="25">
        <v>1.5</v>
      </c>
      <c r="E212" s="22">
        <v>36</v>
      </c>
      <c r="F212" s="22">
        <v>73</v>
      </c>
      <c r="G212" s="1" t="s">
        <v>436</v>
      </c>
      <c r="H212" s="8" t="s">
        <v>439</v>
      </c>
      <c r="J212" s="12">
        <v>1117.52</v>
      </c>
    </row>
    <row r="213" spans="1:10" x14ac:dyDescent="0.25">
      <c r="A213" t="s">
        <v>699</v>
      </c>
      <c r="B213" t="s">
        <v>850</v>
      </c>
      <c r="C213" s="25">
        <v>1.3253405094146737</v>
      </c>
      <c r="D213" s="25">
        <v>1.5</v>
      </c>
      <c r="E213" s="22">
        <v>36</v>
      </c>
      <c r="F213" s="22">
        <v>73</v>
      </c>
      <c r="G213" s="1" t="s">
        <v>436</v>
      </c>
      <c r="H213" s="8" t="s">
        <v>439</v>
      </c>
      <c r="J213" s="12">
        <v>1117.52</v>
      </c>
    </row>
    <row r="214" spans="1:10" x14ac:dyDescent="0.25">
      <c r="A214" t="s">
        <v>700</v>
      </c>
      <c r="B214" t="s">
        <v>850</v>
      </c>
      <c r="C214" s="25">
        <v>1.3137372732162471</v>
      </c>
      <c r="D214" s="25">
        <v>1.5</v>
      </c>
      <c r="E214" s="22">
        <v>36</v>
      </c>
      <c r="F214" s="22">
        <v>73</v>
      </c>
      <c r="G214" s="1" t="s">
        <v>436</v>
      </c>
      <c r="H214" s="8" t="s">
        <v>439</v>
      </c>
      <c r="J214" s="12">
        <v>1117.52</v>
      </c>
    </row>
    <row r="215" spans="1:10" x14ac:dyDescent="0.25">
      <c r="A215" t="s">
        <v>701</v>
      </c>
      <c r="B215" t="s">
        <v>850</v>
      </c>
      <c r="C215" s="25">
        <v>1.3776997327804565</v>
      </c>
      <c r="D215" s="25">
        <v>1.5</v>
      </c>
      <c r="E215" s="22">
        <v>36</v>
      </c>
      <c r="F215" s="22">
        <v>73</v>
      </c>
      <c r="G215" s="1" t="s">
        <v>436</v>
      </c>
      <c r="H215" s="8" t="s">
        <v>439</v>
      </c>
      <c r="J215" s="12">
        <v>1117.52</v>
      </c>
    </row>
    <row r="216" spans="1:10" x14ac:dyDescent="0.25">
      <c r="A216" t="s">
        <v>702</v>
      </c>
      <c r="B216" t="s">
        <v>850</v>
      </c>
      <c r="C216" s="25">
        <v>1.377699732780457</v>
      </c>
      <c r="D216" s="25">
        <v>1.5</v>
      </c>
      <c r="E216" s="22">
        <v>36</v>
      </c>
      <c r="F216" s="22">
        <v>73</v>
      </c>
      <c r="G216" s="1" t="s">
        <v>436</v>
      </c>
      <c r="H216" s="8" t="s">
        <v>439</v>
      </c>
      <c r="J216" s="12">
        <v>1117.52</v>
      </c>
    </row>
    <row r="217" spans="1:10" x14ac:dyDescent="0.25">
      <c r="A217" t="s">
        <v>703</v>
      </c>
      <c r="B217" t="s">
        <v>850</v>
      </c>
      <c r="C217" s="25">
        <v>1.4291460514068597</v>
      </c>
      <c r="D217" s="25">
        <v>1.5</v>
      </c>
      <c r="E217" s="22">
        <v>36</v>
      </c>
      <c r="F217" s="22">
        <v>73</v>
      </c>
      <c r="G217" s="1" t="s">
        <v>436</v>
      </c>
      <c r="H217" s="8" t="s">
        <v>439</v>
      </c>
      <c r="J217" s="12">
        <v>1117.52</v>
      </c>
    </row>
    <row r="218" spans="1:10" x14ac:dyDescent="0.25">
      <c r="A218" t="s">
        <v>704</v>
      </c>
      <c r="B218" t="s">
        <v>850</v>
      </c>
      <c r="C218" s="25">
        <v>1.1957559585571294</v>
      </c>
      <c r="D218" s="25">
        <v>1.2</v>
      </c>
      <c r="E218" s="22">
        <v>36</v>
      </c>
      <c r="F218" s="22">
        <v>73</v>
      </c>
      <c r="G218" s="1" t="s">
        <v>436</v>
      </c>
      <c r="H218" s="8" t="s">
        <v>439</v>
      </c>
      <c r="J218" s="12">
        <v>1117.52</v>
      </c>
    </row>
    <row r="219" spans="1:10" x14ac:dyDescent="0.25">
      <c r="A219" t="s">
        <v>705</v>
      </c>
      <c r="B219" t="s">
        <v>850</v>
      </c>
      <c r="C219" s="25">
        <v>1.2808746099472035</v>
      </c>
      <c r="D219" s="25">
        <v>1.5</v>
      </c>
      <c r="E219" s="22">
        <v>36</v>
      </c>
      <c r="F219" s="22">
        <v>73</v>
      </c>
      <c r="G219" s="1" t="s">
        <v>436</v>
      </c>
      <c r="H219" s="8" t="s">
        <v>439</v>
      </c>
      <c r="J219" s="12">
        <v>1117.52</v>
      </c>
    </row>
    <row r="220" spans="1:10" x14ac:dyDescent="0.25">
      <c r="A220" t="s">
        <v>706</v>
      </c>
      <c r="B220" t="s">
        <v>850</v>
      </c>
      <c r="C220" s="25">
        <v>1.2761672735214225</v>
      </c>
      <c r="D220" s="25">
        <v>1.5</v>
      </c>
      <c r="E220" s="22">
        <v>36</v>
      </c>
      <c r="F220" s="22">
        <v>73</v>
      </c>
      <c r="G220" s="1" t="s">
        <v>436</v>
      </c>
      <c r="H220" s="8" t="s">
        <v>439</v>
      </c>
      <c r="J220" s="12">
        <v>1117.52</v>
      </c>
    </row>
    <row r="221" spans="1:10" x14ac:dyDescent="0.25">
      <c r="A221" t="s">
        <v>707</v>
      </c>
      <c r="B221" t="s">
        <v>850</v>
      </c>
      <c r="C221" s="25">
        <v>1.2761672735214233</v>
      </c>
      <c r="D221" s="25">
        <v>1.5</v>
      </c>
      <c r="E221" s="22">
        <v>36</v>
      </c>
      <c r="F221" s="22">
        <v>73</v>
      </c>
      <c r="G221" s="1" t="s">
        <v>436</v>
      </c>
      <c r="H221" s="8" t="s">
        <v>439</v>
      </c>
      <c r="J221" s="12">
        <v>1117.52</v>
      </c>
    </row>
    <row r="222" spans="1:10" x14ac:dyDescent="0.25">
      <c r="A222" t="s">
        <v>708</v>
      </c>
      <c r="B222" t="s">
        <v>851</v>
      </c>
      <c r="C222" s="25">
        <v>4.9962577819824219</v>
      </c>
      <c r="D222" s="25">
        <v>5.4</v>
      </c>
      <c r="E222" s="22">
        <v>36</v>
      </c>
      <c r="F222" s="22">
        <v>73</v>
      </c>
      <c r="G222" s="1" t="s">
        <v>436</v>
      </c>
      <c r="H222" s="8" t="s">
        <v>439</v>
      </c>
      <c r="J222" s="12">
        <v>1117.52</v>
      </c>
    </row>
    <row r="223" spans="1:10" x14ac:dyDescent="0.25">
      <c r="A223" t="s">
        <v>709</v>
      </c>
      <c r="B223" t="s">
        <v>851</v>
      </c>
      <c r="C223" s="25">
        <v>2.5074288845062256</v>
      </c>
      <c r="D223" s="25">
        <v>2.7</v>
      </c>
      <c r="E223" s="22">
        <v>36</v>
      </c>
      <c r="F223" s="22">
        <v>73</v>
      </c>
      <c r="G223" s="1" t="s">
        <v>436</v>
      </c>
      <c r="H223" s="8" t="s">
        <v>439</v>
      </c>
      <c r="J223" s="12">
        <v>1117.52</v>
      </c>
    </row>
    <row r="224" spans="1:10" x14ac:dyDescent="0.25">
      <c r="A224" t="s">
        <v>710</v>
      </c>
      <c r="B224" t="s">
        <v>851</v>
      </c>
      <c r="C224" s="25">
        <v>4.9962577819824219</v>
      </c>
      <c r="D224" s="25">
        <v>5.4</v>
      </c>
      <c r="E224" s="22">
        <v>36</v>
      </c>
      <c r="F224" s="22">
        <v>73</v>
      </c>
      <c r="G224" s="1" t="s">
        <v>436</v>
      </c>
      <c r="H224" s="8" t="s">
        <v>439</v>
      </c>
      <c r="J224" s="12">
        <v>1117.52</v>
      </c>
    </row>
    <row r="225" spans="1:10" x14ac:dyDescent="0.25">
      <c r="A225" t="s">
        <v>711</v>
      </c>
      <c r="B225" t="s">
        <v>851</v>
      </c>
      <c r="C225" s="25">
        <v>1.4217150211334229</v>
      </c>
      <c r="D225" s="25">
        <v>1.5</v>
      </c>
      <c r="E225" s="22">
        <v>36</v>
      </c>
      <c r="F225" s="22">
        <v>73</v>
      </c>
      <c r="G225" s="1" t="s">
        <v>436</v>
      </c>
      <c r="H225" s="8" t="s">
        <v>439</v>
      </c>
      <c r="J225" s="12">
        <v>1117.52</v>
      </c>
    </row>
    <row r="226" spans="1:10" x14ac:dyDescent="0.25">
      <c r="A226" t="s">
        <v>712</v>
      </c>
      <c r="B226" t="s">
        <v>851</v>
      </c>
      <c r="C226" s="25">
        <v>3.7962579727172852</v>
      </c>
      <c r="D226" s="25">
        <v>4.2</v>
      </c>
      <c r="E226" s="22">
        <v>36</v>
      </c>
      <c r="F226" s="22">
        <v>73</v>
      </c>
      <c r="G226" s="1" t="s">
        <v>436</v>
      </c>
      <c r="H226" s="8" t="s">
        <v>439</v>
      </c>
      <c r="J226" s="12">
        <v>1117.52</v>
      </c>
    </row>
    <row r="227" spans="1:10" x14ac:dyDescent="0.25">
      <c r="A227" t="s">
        <v>713</v>
      </c>
      <c r="B227" t="s">
        <v>851</v>
      </c>
      <c r="C227" s="25">
        <v>4.6788568496704084</v>
      </c>
      <c r="D227" s="25">
        <v>4.8</v>
      </c>
      <c r="E227" s="22">
        <v>36</v>
      </c>
      <c r="F227" s="22">
        <v>73</v>
      </c>
      <c r="G227" s="1" t="s">
        <v>436</v>
      </c>
      <c r="H227" s="8" t="s">
        <v>439</v>
      </c>
      <c r="J227" s="12">
        <v>1117.52</v>
      </c>
    </row>
    <row r="228" spans="1:10" x14ac:dyDescent="0.25">
      <c r="A228" t="s">
        <v>714</v>
      </c>
      <c r="B228" t="s">
        <v>851</v>
      </c>
      <c r="C228" s="25">
        <v>2.5074288845062256</v>
      </c>
      <c r="D228" s="25">
        <v>2.7</v>
      </c>
      <c r="E228" s="22">
        <v>36</v>
      </c>
      <c r="F228" s="22">
        <v>73</v>
      </c>
      <c r="G228" s="1" t="s">
        <v>436</v>
      </c>
      <c r="H228" s="8" t="s">
        <v>439</v>
      </c>
      <c r="J228" s="12">
        <v>1117.52</v>
      </c>
    </row>
    <row r="229" spans="1:10" x14ac:dyDescent="0.25">
      <c r="A229" t="s">
        <v>715</v>
      </c>
      <c r="B229" t="s">
        <v>851</v>
      </c>
      <c r="C229" s="25">
        <v>4.6788568496704102</v>
      </c>
      <c r="D229" s="25">
        <v>4.8</v>
      </c>
      <c r="E229" s="22">
        <v>36</v>
      </c>
      <c r="F229" s="22">
        <v>73</v>
      </c>
      <c r="G229" s="1" t="s">
        <v>436</v>
      </c>
      <c r="H229" s="8" t="s">
        <v>439</v>
      </c>
      <c r="J229" s="12">
        <v>1117.52</v>
      </c>
    </row>
    <row r="230" spans="1:10" x14ac:dyDescent="0.25">
      <c r="A230" t="s">
        <v>716</v>
      </c>
      <c r="B230" t="s">
        <v>852</v>
      </c>
      <c r="C230" s="25">
        <v>20.455060958862305</v>
      </c>
      <c r="D230" s="25">
        <v>20.455060958862305</v>
      </c>
      <c r="E230" s="22">
        <v>73</v>
      </c>
      <c r="F230" s="22">
        <v>48</v>
      </c>
      <c r="G230" s="1" t="s">
        <v>436</v>
      </c>
      <c r="H230" s="8" t="s">
        <v>853</v>
      </c>
      <c r="J230" s="12">
        <v>0</v>
      </c>
    </row>
    <row r="231" spans="1:10" x14ac:dyDescent="0.25">
      <c r="A231" t="s">
        <v>717</v>
      </c>
      <c r="B231" t="s">
        <v>852</v>
      </c>
      <c r="C231" s="25">
        <v>19.466518402099609</v>
      </c>
      <c r="D231" s="25">
        <v>19.466518402099609</v>
      </c>
      <c r="E231" s="22">
        <v>73</v>
      </c>
      <c r="F231" s="22">
        <v>48</v>
      </c>
      <c r="G231" s="1" t="s">
        <v>436</v>
      </c>
      <c r="H231" s="8" t="s">
        <v>853</v>
      </c>
      <c r="J231" s="12">
        <v>0</v>
      </c>
    </row>
    <row r="232" spans="1:10" x14ac:dyDescent="0.25">
      <c r="A232" t="s">
        <v>718</v>
      </c>
      <c r="B232" t="s">
        <v>852</v>
      </c>
      <c r="C232" s="25">
        <v>18.477975845336914</v>
      </c>
      <c r="D232" s="25">
        <v>18.477975845336914</v>
      </c>
      <c r="E232" s="22">
        <v>73</v>
      </c>
      <c r="F232" s="22">
        <v>48</v>
      </c>
      <c r="G232" s="1" t="s">
        <v>436</v>
      </c>
      <c r="H232" s="8" t="s">
        <v>853</v>
      </c>
      <c r="J232" s="12">
        <v>0</v>
      </c>
    </row>
    <row r="233" spans="1:10" x14ac:dyDescent="0.25">
      <c r="A233" t="s">
        <v>719</v>
      </c>
      <c r="B233" t="s">
        <v>852</v>
      </c>
      <c r="C233" s="25">
        <v>17.489433288574219</v>
      </c>
      <c r="D233" s="25">
        <v>17.489433288574219</v>
      </c>
      <c r="E233" s="22">
        <v>73</v>
      </c>
      <c r="F233" s="22">
        <v>48</v>
      </c>
      <c r="G233" s="1" t="s">
        <v>436</v>
      </c>
      <c r="H233" s="8" t="s">
        <v>853</v>
      </c>
      <c r="J233" s="12">
        <v>0</v>
      </c>
    </row>
    <row r="234" spans="1:10" x14ac:dyDescent="0.25">
      <c r="A234" t="s">
        <v>720</v>
      </c>
      <c r="B234" t="s">
        <v>852</v>
      </c>
      <c r="C234" s="25">
        <v>17.350004196166992</v>
      </c>
      <c r="D234" s="25">
        <v>17.350004196166992</v>
      </c>
      <c r="E234" s="22">
        <v>73</v>
      </c>
      <c r="F234" s="22">
        <v>48</v>
      </c>
      <c r="G234" s="1" t="s">
        <v>436</v>
      </c>
      <c r="H234" s="8" t="s">
        <v>853</v>
      </c>
      <c r="J234" s="12">
        <v>0</v>
      </c>
    </row>
    <row r="235" spans="1:10" x14ac:dyDescent="0.25">
      <c r="A235" t="s">
        <v>721</v>
      </c>
      <c r="B235" t="s">
        <v>852</v>
      </c>
      <c r="C235" s="25">
        <v>17.350004196166992</v>
      </c>
      <c r="D235" s="25">
        <v>17.350004196166992</v>
      </c>
      <c r="E235" s="22">
        <v>73</v>
      </c>
      <c r="F235" s="22">
        <v>48</v>
      </c>
      <c r="G235" s="1" t="s">
        <v>436</v>
      </c>
      <c r="H235" s="8" t="s">
        <v>853</v>
      </c>
      <c r="J235" s="12">
        <v>0</v>
      </c>
    </row>
    <row r="236" spans="1:10" x14ac:dyDescent="0.25">
      <c r="A236" t="s">
        <v>722</v>
      </c>
      <c r="B236" t="s">
        <v>852</v>
      </c>
      <c r="C236" s="25">
        <v>5.1149396896362305</v>
      </c>
      <c r="D236" s="25">
        <v>5.1149396896362305</v>
      </c>
      <c r="E236" s="22">
        <v>73</v>
      </c>
      <c r="F236" s="22">
        <v>48</v>
      </c>
      <c r="G236" s="1" t="s">
        <v>436</v>
      </c>
      <c r="H236" s="8" t="s">
        <v>853</v>
      </c>
      <c r="J236" s="12">
        <v>0</v>
      </c>
    </row>
    <row r="237" spans="1:10" x14ac:dyDescent="0.25">
      <c r="A237" t="s">
        <v>723</v>
      </c>
      <c r="B237" t="s">
        <v>852</v>
      </c>
      <c r="C237" s="25">
        <v>6.1034822463989258</v>
      </c>
      <c r="D237" s="25">
        <v>6.1034822463989258</v>
      </c>
      <c r="E237" s="22">
        <v>73</v>
      </c>
      <c r="F237" s="22">
        <v>48</v>
      </c>
      <c r="G237" s="1" t="s">
        <v>436</v>
      </c>
      <c r="H237" s="8" t="s">
        <v>853</v>
      </c>
      <c r="J237" s="12">
        <v>0</v>
      </c>
    </row>
    <row r="238" spans="1:10" x14ac:dyDescent="0.25">
      <c r="A238" t="s">
        <v>724</v>
      </c>
      <c r="B238" t="s">
        <v>852</v>
      </c>
      <c r="C238" s="25">
        <v>7.0920248031616211</v>
      </c>
      <c r="D238" s="25">
        <v>7.0920248031616211</v>
      </c>
      <c r="E238" s="22">
        <v>73</v>
      </c>
      <c r="F238" s="22">
        <v>48</v>
      </c>
      <c r="G238" s="1" t="s">
        <v>436</v>
      </c>
      <c r="H238" s="8" t="s">
        <v>853</v>
      </c>
      <c r="J238" s="12">
        <v>0</v>
      </c>
    </row>
    <row r="239" spans="1:10" x14ac:dyDescent="0.25">
      <c r="A239" t="s">
        <v>725</v>
      </c>
      <c r="B239" t="s">
        <v>852</v>
      </c>
      <c r="C239" s="25">
        <v>14.080567359924316</v>
      </c>
      <c r="D239" s="25">
        <v>14.080567359924316</v>
      </c>
      <c r="E239" s="22">
        <v>73</v>
      </c>
      <c r="F239" s="22">
        <v>48</v>
      </c>
      <c r="G239" s="1" t="s">
        <v>436</v>
      </c>
      <c r="H239" s="8" t="s">
        <v>853</v>
      </c>
      <c r="J239" s="12">
        <v>0</v>
      </c>
    </row>
    <row r="240" spans="1:10" x14ac:dyDescent="0.25">
      <c r="A240" t="s">
        <v>726</v>
      </c>
      <c r="B240" t="s">
        <v>852</v>
      </c>
      <c r="C240" s="25">
        <v>14.907650947570801</v>
      </c>
      <c r="D240" s="25">
        <v>14.907650947570801</v>
      </c>
      <c r="E240" s="22">
        <v>73</v>
      </c>
      <c r="F240" s="22">
        <v>48</v>
      </c>
      <c r="G240" s="1" t="s">
        <v>436</v>
      </c>
      <c r="H240" s="8" t="s">
        <v>853</v>
      </c>
      <c r="J240" s="12">
        <v>0</v>
      </c>
    </row>
    <row r="241" spans="1:10" x14ac:dyDescent="0.25">
      <c r="A241" t="s">
        <v>727</v>
      </c>
      <c r="B241" t="s">
        <v>852</v>
      </c>
      <c r="C241" s="25">
        <v>6</v>
      </c>
      <c r="D241" s="25">
        <v>6</v>
      </c>
      <c r="E241" s="22">
        <v>73</v>
      </c>
      <c r="F241" s="22">
        <v>48</v>
      </c>
      <c r="G241" s="1" t="s">
        <v>436</v>
      </c>
      <c r="H241" s="8" t="s">
        <v>853</v>
      </c>
      <c r="J241" s="12">
        <v>0</v>
      </c>
    </row>
    <row r="242" spans="1:10" x14ac:dyDescent="0.25">
      <c r="A242" t="s">
        <v>728</v>
      </c>
      <c r="B242" t="s">
        <v>852</v>
      </c>
      <c r="C242" s="25">
        <v>11.11493968963623</v>
      </c>
      <c r="D242" s="25">
        <v>11.11493968963623</v>
      </c>
      <c r="E242" s="22">
        <v>73</v>
      </c>
      <c r="F242" s="22">
        <v>48</v>
      </c>
      <c r="G242" s="1" t="s">
        <v>436</v>
      </c>
      <c r="H242" s="8" t="s">
        <v>853</v>
      </c>
      <c r="J242" s="12">
        <v>0</v>
      </c>
    </row>
    <row r="243" spans="1:10" x14ac:dyDescent="0.25">
      <c r="A243" t="s">
        <v>729</v>
      </c>
      <c r="B243" t="s">
        <v>852</v>
      </c>
      <c r="C243" s="25">
        <v>12.103482246398926</v>
      </c>
      <c r="D243" s="25">
        <v>12.103482246398926</v>
      </c>
      <c r="E243" s="22">
        <v>73</v>
      </c>
      <c r="F243" s="22">
        <v>48</v>
      </c>
      <c r="G243" s="1" t="s">
        <v>436</v>
      </c>
      <c r="H243" s="8" t="s">
        <v>853</v>
      </c>
      <c r="J243" s="12">
        <v>0</v>
      </c>
    </row>
    <row r="244" spans="1:10" x14ac:dyDescent="0.25">
      <c r="A244" t="s">
        <v>730</v>
      </c>
      <c r="B244" t="s">
        <v>852</v>
      </c>
      <c r="C244" s="25">
        <v>13.092024803161621</v>
      </c>
      <c r="D244" s="25">
        <v>13.092024803161621</v>
      </c>
      <c r="E244" s="22">
        <v>73</v>
      </c>
      <c r="F244" s="22">
        <v>48</v>
      </c>
      <c r="G244" s="1" t="s">
        <v>436</v>
      </c>
      <c r="H244" s="8" t="s">
        <v>853</v>
      </c>
      <c r="J244" s="12">
        <v>0</v>
      </c>
    </row>
    <row r="245" spans="1:10" x14ac:dyDescent="0.25">
      <c r="A245" t="s">
        <v>731</v>
      </c>
      <c r="B245" t="s">
        <v>852</v>
      </c>
      <c r="C245" s="25">
        <v>14.080567359924316</v>
      </c>
      <c r="D245" s="25">
        <v>14.080567359924316</v>
      </c>
      <c r="E245" s="22">
        <v>73</v>
      </c>
      <c r="F245" s="22">
        <v>48</v>
      </c>
      <c r="G245" s="1" t="s">
        <v>436</v>
      </c>
      <c r="H245" s="8" t="s">
        <v>853</v>
      </c>
      <c r="J245" s="12">
        <v>0</v>
      </c>
    </row>
    <row r="246" spans="1:10" x14ac:dyDescent="0.25">
      <c r="A246" t="s">
        <v>732</v>
      </c>
      <c r="B246" t="s">
        <v>852</v>
      </c>
      <c r="C246" s="25">
        <v>14.907650947570801</v>
      </c>
      <c r="D246" s="25">
        <v>14.907650947570801</v>
      </c>
      <c r="E246" s="22">
        <v>73</v>
      </c>
      <c r="F246" s="22">
        <v>48</v>
      </c>
      <c r="G246" s="1" t="s">
        <v>436</v>
      </c>
      <c r="H246" s="8" t="s">
        <v>853</v>
      </c>
      <c r="J246" s="12">
        <v>0</v>
      </c>
    </row>
    <row r="247" spans="1:10" x14ac:dyDescent="0.25">
      <c r="A247" t="s">
        <v>733</v>
      </c>
      <c r="B247" t="s">
        <v>852</v>
      </c>
      <c r="C247" s="25">
        <v>10.11012077331543</v>
      </c>
      <c r="D247" s="25">
        <v>10.11012077331543</v>
      </c>
      <c r="E247" s="22">
        <v>73</v>
      </c>
      <c r="F247" s="22">
        <v>48</v>
      </c>
      <c r="G247" s="1" t="s">
        <v>436</v>
      </c>
      <c r="H247" s="8" t="s">
        <v>853</v>
      </c>
      <c r="J247" s="12">
        <v>0</v>
      </c>
    </row>
    <row r="248" spans="1:10" x14ac:dyDescent="0.25">
      <c r="A248" t="s">
        <v>734</v>
      </c>
      <c r="B248" t="s">
        <v>852</v>
      </c>
      <c r="C248" s="25">
        <v>8.1330356597900391</v>
      </c>
      <c r="D248" s="25">
        <v>8.1330356597900391</v>
      </c>
      <c r="E248" s="22">
        <v>73</v>
      </c>
      <c r="F248" s="22">
        <v>48</v>
      </c>
      <c r="G248" s="1" t="s">
        <v>436</v>
      </c>
      <c r="H248" s="8" t="s">
        <v>853</v>
      </c>
      <c r="J248" s="12">
        <v>0</v>
      </c>
    </row>
    <row r="249" spans="1:10" x14ac:dyDescent="0.25">
      <c r="A249" t="s">
        <v>735</v>
      </c>
      <c r="B249" t="s">
        <v>852</v>
      </c>
      <c r="C249" s="25">
        <v>6.1559514999389648</v>
      </c>
      <c r="D249" s="25">
        <v>6.1559514999389648</v>
      </c>
      <c r="E249" s="22">
        <v>73</v>
      </c>
      <c r="F249" s="22">
        <v>48</v>
      </c>
      <c r="G249" s="1" t="s">
        <v>436</v>
      </c>
      <c r="H249" s="8" t="s">
        <v>853</v>
      </c>
      <c r="J249" s="12">
        <v>0</v>
      </c>
    </row>
    <row r="250" spans="1:10" x14ac:dyDescent="0.25">
      <c r="A250" t="s">
        <v>736</v>
      </c>
      <c r="B250" t="s">
        <v>852</v>
      </c>
      <c r="C250" s="25">
        <v>4.1788668632507324</v>
      </c>
      <c r="D250" s="25">
        <v>4.1788668632507324</v>
      </c>
      <c r="E250" s="22">
        <v>73</v>
      </c>
      <c r="F250" s="22">
        <v>48</v>
      </c>
      <c r="G250" s="1" t="s">
        <v>436</v>
      </c>
      <c r="H250" s="8" t="s">
        <v>853</v>
      </c>
      <c r="J250" s="12">
        <v>0</v>
      </c>
    </row>
    <row r="251" spans="1:10" x14ac:dyDescent="0.25">
      <c r="A251" t="s">
        <v>737</v>
      </c>
      <c r="B251" t="s">
        <v>852</v>
      </c>
      <c r="C251" s="25">
        <v>2.7999999523162842</v>
      </c>
      <c r="D251" s="25">
        <v>2.7999999523162842</v>
      </c>
      <c r="E251" s="22">
        <v>73</v>
      </c>
      <c r="F251" s="22">
        <v>48</v>
      </c>
      <c r="G251" s="1" t="s">
        <v>436</v>
      </c>
      <c r="H251" s="8" t="s">
        <v>853</v>
      </c>
      <c r="J251" s="12">
        <v>0</v>
      </c>
    </row>
    <row r="252" spans="1:10" x14ac:dyDescent="0.25">
      <c r="A252" t="s">
        <v>738</v>
      </c>
      <c r="B252" t="s">
        <v>852</v>
      </c>
      <c r="C252" s="25">
        <v>9.8449392318725604</v>
      </c>
      <c r="D252" s="25">
        <v>9.8449392318725604</v>
      </c>
      <c r="E252" s="22">
        <v>73</v>
      </c>
      <c r="F252" s="22">
        <v>48</v>
      </c>
      <c r="G252" s="1" t="s">
        <v>436</v>
      </c>
      <c r="H252" s="8" t="s">
        <v>853</v>
      </c>
      <c r="J252" s="12">
        <v>0</v>
      </c>
    </row>
    <row r="253" spans="1:10" x14ac:dyDescent="0.25">
      <c r="A253" t="s">
        <v>739</v>
      </c>
      <c r="B253" t="s">
        <v>852</v>
      </c>
      <c r="C253" s="25">
        <v>2.7999999523162842</v>
      </c>
      <c r="D253" s="25">
        <v>2.7999999523162842</v>
      </c>
      <c r="E253" s="22">
        <v>73</v>
      </c>
      <c r="F253" s="22">
        <v>48</v>
      </c>
      <c r="G253" s="1" t="s">
        <v>436</v>
      </c>
      <c r="H253" s="8" t="s">
        <v>853</v>
      </c>
      <c r="J253" s="12">
        <v>0</v>
      </c>
    </row>
    <row r="254" spans="1:10" x14ac:dyDescent="0.25">
      <c r="A254" t="s">
        <v>740</v>
      </c>
      <c r="B254" t="s">
        <v>852</v>
      </c>
      <c r="C254" s="25">
        <v>10.833481788635254</v>
      </c>
      <c r="D254" s="25">
        <v>10.833481788635254</v>
      </c>
      <c r="E254" s="22">
        <v>73</v>
      </c>
      <c r="F254" s="22">
        <v>48</v>
      </c>
      <c r="G254" s="1" t="s">
        <v>436</v>
      </c>
      <c r="H254" s="8" t="s">
        <v>853</v>
      </c>
      <c r="J254" s="12">
        <v>0</v>
      </c>
    </row>
    <row r="255" spans="1:10" x14ac:dyDescent="0.25">
      <c r="A255" t="s">
        <v>741</v>
      </c>
      <c r="B255" t="s">
        <v>852</v>
      </c>
      <c r="C255" s="25">
        <v>2.8000001907348628</v>
      </c>
      <c r="D255" s="25">
        <v>2.8000001907348628</v>
      </c>
      <c r="E255" s="22">
        <v>73</v>
      </c>
      <c r="F255" s="22">
        <v>48</v>
      </c>
      <c r="G255" s="1" t="s">
        <v>436</v>
      </c>
      <c r="H255" s="8" t="s">
        <v>853</v>
      </c>
      <c r="J255" s="12">
        <v>0</v>
      </c>
    </row>
    <row r="256" spans="1:10" x14ac:dyDescent="0.25">
      <c r="A256" t="s">
        <v>742</v>
      </c>
      <c r="B256" t="s">
        <v>852</v>
      </c>
      <c r="C256" s="25">
        <v>11.822024345397949</v>
      </c>
      <c r="D256" s="25">
        <v>11.822024345397949</v>
      </c>
      <c r="E256" s="22">
        <v>73</v>
      </c>
      <c r="F256" s="22">
        <v>48</v>
      </c>
      <c r="G256" s="1" t="s">
        <v>436</v>
      </c>
      <c r="H256" s="8" t="s">
        <v>853</v>
      </c>
      <c r="J256" s="12">
        <v>0</v>
      </c>
    </row>
    <row r="257" spans="1:10" x14ac:dyDescent="0.25">
      <c r="A257" t="s">
        <v>743</v>
      </c>
      <c r="B257" t="s">
        <v>852</v>
      </c>
      <c r="C257" s="25">
        <v>2.8000001907348633</v>
      </c>
      <c r="D257" s="25">
        <v>2.8000001907348633</v>
      </c>
      <c r="E257" s="22">
        <v>73</v>
      </c>
      <c r="F257" s="22">
        <v>48</v>
      </c>
      <c r="G257" s="1" t="s">
        <v>436</v>
      </c>
      <c r="H257" s="8" t="s">
        <v>853</v>
      </c>
      <c r="J257" s="12">
        <v>0</v>
      </c>
    </row>
    <row r="258" spans="1:10" x14ac:dyDescent="0.25">
      <c r="A258" t="s">
        <v>744</v>
      </c>
      <c r="B258" t="s">
        <v>852</v>
      </c>
      <c r="C258" s="25">
        <v>12.810566902160645</v>
      </c>
      <c r="D258" s="25">
        <v>12.810566902160645</v>
      </c>
      <c r="E258" s="22">
        <v>73</v>
      </c>
      <c r="F258" s="22">
        <v>48</v>
      </c>
      <c r="G258" s="1" t="s">
        <v>436</v>
      </c>
      <c r="H258" s="8" t="s">
        <v>853</v>
      </c>
      <c r="J258" s="12">
        <v>0</v>
      </c>
    </row>
    <row r="259" spans="1:10" x14ac:dyDescent="0.25">
      <c r="A259" t="s">
        <v>745</v>
      </c>
      <c r="B259" t="s">
        <v>852</v>
      </c>
      <c r="C259" s="25">
        <v>17.350004196166992</v>
      </c>
      <c r="D259" s="25">
        <v>17.350004196166992</v>
      </c>
      <c r="E259" s="22">
        <v>73</v>
      </c>
      <c r="F259" s="22">
        <v>48</v>
      </c>
      <c r="G259" s="1" t="s">
        <v>436</v>
      </c>
      <c r="H259" s="8" t="s">
        <v>853</v>
      </c>
      <c r="J259" s="12">
        <v>0</v>
      </c>
    </row>
    <row r="260" spans="1:10" x14ac:dyDescent="0.25">
      <c r="A260" t="s">
        <v>746</v>
      </c>
      <c r="B260" t="s">
        <v>852</v>
      </c>
      <c r="C260" s="25">
        <v>17.350004196166992</v>
      </c>
      <c r="D260" s="25">
        <v>17.350004196166992</v>
      </c>
      <c r="E260" s="22">
        <v>73</v>
      </c>
      <c r="F260" s="22">
        <v>48</v>
      </c>
      <c r="G260" s="1" t="s">
        <v>436</v>
      </c>
      <c r="H260" s="8" t="s">
        <v>853</v>
      </c>
      <c r="J260" s="12">
        <v>0</v>
      </c>
    </row>
    <row r="261" spans="1:10" x14ac:dyDescent="0.25">
      <c r="A261" t="s">
        <v>747</v>
      </c>
      <c r="B261" t="s">
        <v>852</v>
      </c>
      <c r="C261" s="25">
        <v>5.6500000953674316</v>
      </c>
      <c r="D261" s="25">
        <v>5.6500000953674316</v>
      </c>
      <c r="E261" s="22">
        <v>73</v>
      </c>
      <c r="F261" s="22">
        <v>48</v>
      </c>
      <c r="G261" s="1" t="s">
        <v>436</v>
      </c>
      <c r="H261" s="8" t="s">
        <v>853</v>
      </c>
      <c r="J261" s="12">
        <v>0</v>
      </c>
    </row>
    <row r="262" spans="1:10" x14ac:dyDescent="0.25">
      <c r="A262" t="s">
        <v>748</v>
      </c>
      <c r="B262" t="s">
        <v>852</v>
      </c>
      <c r="C262" s="25">
        <v>5.6500000953674316</v>
      </c>
      <c r="D262" s="25">
        <v>5.6500000953674316</v>
      </c>
      <c r="E262" s="22">
        <v>73</v>
      </c>
      <c r="F262" s="22">
        <v>48</v>
      </c>
      <c r="G262" s="1" t="s">
        <v>436</v>
      </c>
      <c r="H262" s="8" t="s">
        <v>853</v>
      </c>
      <c r="J262" s="12">
        <v>0</v>
      </c>
    </row>
    <row r="263" spans="1:10" x14ac:dyDescent="0.25">
      <c r="A263" t="s">
        <v>749</v>
      </c>
      <c r="B263" t="s">
        <v>852</v>
      </c>
      <c r="C263" s="25">
        <v>5.6500000953674316</v>
      </c>
      <c r="D263" s="25">
        <v>5.6500000953674316</v>
      </c>
      <c r="E263" s="22">
        <v>73</v>
      </c>
      <c r="F263" s="22">
        <v>48</v>
      </c>
      <c r="G263" s="1" t="s">
        <v>436</v>
      </c>
      <c r="H263" s="8" t="s">
        <v>853</v>
      </c>
      <c r="J263" s="12">
        <v>0</v>
      </c>
    </row>
    <row r="264" spans="1:10" x14ac:dyDescent="0.25">
      <c r="A264" t="s">
        <v>750</v>
      </c>
      <c r="B264" t="s">
        <v>852</v>
      </c>
      <c r="C264" s="25">
        <v>5.6500000953674316</v>
      </c>
      <c r="D264" s="25">
        <v>5.6500000953674316</v>
      </c>
      <c r="E264" s="22">
        <v>73</v>
      </c>
      <c r="F264" s="22">
        <v>48</v>
      </c>
      <c r="G264" s="1" t="s">
        <v>436</v>
      </c>
      <c r="H264" s="8" t="s">
        <v>853</v>
      </c>
      <c r="J264" s="12">
        <v>0</v>
      </c>
    </row>
    <row r="265" spans="1:10" x14ac:dyDescent="0.25">
      <c r="A265" t="s">
        <v>751</v>
      </c>
      <c r="B265" t="s">
        <v>852</v>
      </c>
      <c r="C265" s="25">
        <v>5.6500000953674316</v>
      </c>
      <c r="D265" s="25">
        <v>5.6500000953674316</v>
      </c>
      <c r="E265" s="22">
        <v>73</v>
      </c>
      <c r="F265" s="22">
        <v>48</v>
      </c>
      <c r="G265" s="1" t="s">
        <v>436</v>
      </c>
      <c r="H265" s="8" t="s">
        <v>853</v>
      </c>
      <c r="J265" s="12">
        <v>0</v>
      </c>
    </row>
    <row r="266" spans="1:10" x14ac:dyDescent="0.25">
      <c r="A266" t="s">
        <v>752</v>
      </c>
      <c r="B266" t="s">
        <v>852</v>
      </c>
      <c r="C266" s="25">
        <v>5.6500000953674316</v>
      </c>
      <c r="D266" s="25">
        <v>5.6500000953674316</v>
      </c>
      <c r="E266" s="22">
        <v>73</v>
      </c>
      <c r="F266" s="22">
        <v>48</v>
      </c>
      <c r="G266" s="1" t="s">
        <v>436</v>
      </c>
      <c r="H266" s="8" t="s">
        <v>853</v>
      </c>
      <c r="J266" s="12">
        <v>0</v>
      </c>
    </row>
    <row r="267" spans="1:10" x14ac:dyDescent="0.25">
      <c r="A267" t="s">
        <v>753</v>
      </c>
      <c r="B267" t="s">
        <v>852</v>
      </c>
      <c r="C267" s="25">
        <v>5.6500000953674316</v>
      </c>
      <c r="D267" s="25">
        <v>5.6500000953674316</v>
      </c>
      <c r="E267" s="22">
        <v>73</v>
      </c>
      <c r="F267" s="22">
        <v>48</v>
      </c>
      <c r="G267" s="1" t="s">
        <v>436</v>
      </c>
      <c r="H267" s="8" t="s">
        <v>853</v>
      </c>
      <c r="J267" s="12">
        <v>0</v>
      </c>
    </row>
    <row r="268" spans="1:10" x14ac:dyDescent="0.25">
      <c r="A268" t="s">
        <v>754</v>
      </c>
      <c r="B268" t="s">
        <v>852</v>
      </c>
      <c r="C268" s="25">
        <v>5.6500000953674316</v>
      </c>
      <c r="D268" s="25">
        <v>5.6500000953674316</v>
      </c>
      <c r="E268" s="22">
        <v>73</v>
      </c>
      <c r="F268" s="22">
        <v>48</v>
      </c>
      <c r="G268" s="1" t="s">
        <v>436</v>
      </c>
      <c r="H268" s="8" t="s">
        <v>853</v>
      </c>
      <c r="J268" s="12">
        <v>0</v>
      </c>
    </row>
    <row r="269" spans="1:10" x14ac:dyDescent="0.25">
      <c r="A269" t="s">
        <v>755</v>
      </c>
      <c r="B269" t="s">
        <v>852</v>
      </c>
      <c r="C269" s="25">
        <v>5.6500000953674316</v>
      </c>
      <c r="D269" s="25">
        <v>5.6500000953674316</v>
      </c>
      <c r="E269" s="22">
        <v>73</v>
      </c>
      <c r="F269" s="22">
        <v>48</v>
      </c>
      <c r="G269" s="1" t="s">
        <v>436</v>
      </c>
      <c r="H269" s="8" t="s">
        <v>853</v>
      </c>
      <c r="J269" s="12">
        <v>0</v>
      </c>
    </row>
    <row r="270" spans="1:10" x14ac:dyDescent="0.25">
      <c r="A270" t="s">
        <v>756</v>
      </c>
      <c r="B270" t="s">
        <v>852</v>
      </c>
      <c r="C270" s="25">
        <v>5.6500000953674316</v>
      </c>
      <c r="D270" s="25">
        <v>5.6500000953674316</v>
      </c>
      <c r="E270" s="22">
        <v>73</v>
      </c>
      <c r="F270" s="22">
        <v>48</v>
      </c>
      <c r="G270" s="1" t="s">
        <v>436</v>
      </c>
      <c r="H270" s="8" t="s">
        <v>853</v>
      </c>
      <c r="J270" s="12">
        <v>0</v>
      </c>
    </row>
    <row r="271" spans="1:10" x14ac:dyDescent="0.25">
      <c r="A271" t="s">
        <v>757</v>
      </c>
      <c r="B271" t="s">
        <v>852</v>
      </c>
      <c r="C271" s="25">
        <v>7.3707418441772461</v>
      </c>
      <c r="D271" s="25">
        <v>7.3707418441772461</v>
      </c>
      <c r="E271" s="22">
        <v>73</v>
      </c>
      <c r="F271" s="22">
        <v>48</v>
      </c>
      <c r="G271" s="1" t="s">
        <v>436</v>
      </c>
      <c r="H271" s="8" t="s">
        <v>853</v>
      </c>
      <c r="J271" s="12">
        <v>0</v>
      </c>
    </row>
    <row r="272" spans="1:10" x14ac:dyDescent="0.25">
      <c r="A272" t="s">
        <v>758</v>
      </c>
      <c r="B272" t="s">
        <v>852</v>
      </c>
      <c r="C272" s="25">
        <v>7.3707418441772461</v>
      </c>
      <c r="D272" s="25">
        <v>7.3707418441772461</v>
      </c>
      <c r="E272" s="22">
        <v>73</v>
      </c>
      <c r="F272" s="22">
        <v>48</v>
      </c>
      <c r="G272" s="1" t="s">
        <v>436</v>
      </c>
      <c r="H272" s="8" t="s">
        <v>853</v>
      </c>
      <c r="J272" s="12">
        <v>0</v>
      </c>
    </row>
    <row r="273" spans="1:10" x14ac:dyDescent="0.25">
      <c r="A273" t="s">
        <v>759</v>
      </c>
      <c r="B273" t="s">
        <v>852</v>
      </c>
      <c r="C273" s="25">
        <v>7.3707418441772461</v>
      </c>
      <c r="D273" s="25">
        <v>7.3707418441772461</v>
      </c>
      <c r="E273" s="22">
        <v>73</v>
      </c>
      <c r="F273" s="22">
        <v>48</v>
      </c>
      <c r="G273" s="1" t="s">
        <v>436</v>
      </c>
      <c r="H273" s="8" t="s">
        <v>853</v>
      </c>
      <c r="J273" s="12">
        <v>0</v>
      </c>
    </row>
    <row r="274" spans="1:10" x14ac:dyDescent="0.25">
      <c r="A274" t="s">
        <v>760</v>
      </c>
      <c r="B274" t="s">
        <v>852</v>
      </c>
      <c r="C274" s="25">
        <v>7.3707418441772461</v>
      </c>
      <c r="D274" s="25">
        <v>7.3707418441772461</v>
      </c>
      <c r="E274" s="22">
        <v>73</v>
      </c>
      <c r="F274" s="22">
        <v>48</v>
      </c>
      <c r="G274" s="1" t="s">
        <v>436</v>
      </c>
      <c r="H274" s="8" t="s">
        <v>853</v>
      </c>
      <c r="J274" s="12">
        <v>0</v>
      </c>
    </row>
    <row r="275" spans="1:10" x14ac:dyDescent="0.25">
      <c r="A275" t="s">
        <v>761</v>
      </c>
      <c r="B275" t="s">
        <v>852</v>
      </c>
      <c r="C275" s="25">
        <v>7.3707418441772461</v>
      </c>
      <c r="D275" s="25">
        <v>7.3707418441772461</v>
      </c>
      <c r="E275" s="22">
        <v>73</v>
      </c>
      <c r="F275" s="22">
        <v>48</v>
      </c>
      <c r="G275" s="1" t="s">
        <v>436</v>
      </c>
      <c r="H275" s="8" t="s">
        <v>853</v>
      </c>
      <c r="J275" s="12">
        <v>0</v>
      </c>
    </row>
    <row r="276" spans="1:10" x14ac:dyDescent="0.25">
      <c r="A276" t="s">
        <v>762</v>
      </c>
      <c r="B276" t="s">
        <v>852</v>
      </c>
      <c r="C276" s="25">
        <v>8.8999996185302734</v>
      </c>
      <c r="D276" s="25">
        <v>8.8999996185302734</v>
      </c>
      <c r="E276" s="22">
        <v>73</v>
      </c>
      <c r="F276" s="22">
        <v>48</v>
      </c>
      <c r="G276" s="1" t="s">
        <v>436</v>
      </c>
      <c r="H276" s="8" t="s">
        <v>853</v>
      </c>
      <c r="J276" s="12">
        <v>0</v>
      </c>
    </row>
    <row r="277" spans="1:10" x14ac:dyDescent="0.25">
      <c r="A277" t="s">
        <v>763</v>
      </c>
      <c r="B277" t="s">
        <v>852</v>
      </c>
      <c r="C277" s="25">
        <v>8.8999996185302734</v>
      </c>
      <c r="D277" s="25">
        <v>8.8999996185302734</v>
      </c>
      <c r="E277" s="22">
        <v>73</v>
      </c>
      <c r="F277" s="22">
        <v>48</v>
      </c>
      <c r="G277" s="1" t="s">
        <v>436</v>
      </c>
      <c r="H277" s="8" t="s">
        <v>853</v>
      </c>
      <c r="J277" s="12">
        <v>0</v>
      </c>
    </row>
    <row r="278" spans="1:10" x14ac:dyDescent="0.25">
      <c r="A278" t="s">
        <v>764</v>
      </c>
      <c r="B278" t="s">
        <v>852</v>
      </c>
      <c r="C278" s="25">
        <v>8.8999996185302734</v>
      </c>
      <c r="D278" s="25">
        <v>8.8999996185302734</v>
      </c>
      <c r="E278" s="22">
        <v>73</v>
      </c>
      <c r="F278" s="22">
        <v>48</v>
      </c>
      <c r="G278" s="1" t="s">
        <v>436</v>
      </c>
      <c r="H278" s="8" t="s">
        <v>853</v>
      </c>
      <c r="J278" s="12">
        <v>0</v>
      </c>
    </row>
    <row r="279" spans="1:10" x14ac:dyDescent="0.25">
      <c r="A279" t="s">
        <v>765</v>
      </c>
      <c r="B279" t="s">
        <v>852</v>
      </c>
      <c r="C279" s="25">
        <v>8.8999996185302734</v>
      </c>
      <c r="D279" s="25">
        <v>8.8999996185302734</v>
      </c>
      <c r="E279" s="22">
        <v>73</v>
      </c>
      <c r="F279" s="22">
        <v>48</v>
      </c>
      <c r="G279" s="1" t="s">
        <v>436</v>
      </c>
      <c r="H279" s="8" t="s">
        <v>853</v>
      </c>
      <c r="J279" s="12">
        <v>0</v>
      </c>
    </row>
    <row r="280" spans="1:10" x14ac:dyDescent="0.25">
      <c r="A280" t="s">
        <v>766</v>
      </c>
      <c r="B280" t="s">
        <v>852</v>
      </c>
      <c r="C280" s="25">
        <v>8.8999996185302734</v>
      </c>
      <c r="D280" s="25">
        <v>8.8999996185302734</v>
      </c>
      <c r="E280" s="22">
        <v>73</v>
      </c>
      <c r="F280" s="22">
        <v>48</v>
      </c>
      <c r="G280" s="1" t="s">
        <v>436</v>
      </c>
      <c r="H280" s="8" t="s">
        <v>853</v>
      </c>
      <c r="J280" s="12">
        <v>0</v>
      </c>
    </row>
    <row r="281" spans="1:10" x14ac:dyDescent="0.25">
      <c r="A281" t="s">
        <v>767</v>
      </c>
      <c r="B281" t="s">
        <v>852</v>
      </c>
      <c r="C281" s="25">
        <v>8.8999996185302734</v>
      </c>
      <c r="D281" s="25">
        <v>8.8999996185302734</v>
      </c>
      <c r="E281" s="22">
        <v>73</v>
      </c>
      <c r="F281" s="22">
        <v>48</v>
      </c>
      <c r="G281" s="1" t="s">
        <v>436</v>
      </c>
      <c r="H281" s="8" t="s">
        <v>853</v>
      </c>
      <c r="J281" s="12">
        <v>0</v>
      </c>
    </row>
    <row r="282" spans="1:10" x14ac:dyDescent="0.25">
      <c r="A282" t="s">
        <v>768</v>
      </c>
      <c r="B282" t="s">
        <v>852</v>
      </c>
      <c r="C282" s="25">
        <v>8.8999996185302734</v>
      </c>
      <c r="D282" s="25">
        <v>8.8999996185302734</v>
      </c>
      <c r="E282" s="22">
        <v>73</v>
      </c>
      <c r="F282" s="22">
        <v>48</v>
      </c>
      <c r="G282" s="1" t="s">
        <v>436</v>
      </c>
      <c r="H282" s="8" t="s">
        <v>853</v>
      </c>
      <c r="J282" s="12">
        <v>0</v>
      </c>
    </row>
    <row r="283" spans="1:10" x14ac:dyDescent="0.25">
      <c r="A283" t="s">
        <v>769</v>
      </c>
      <c r="B283" t="s">
        <v>852</v>
      </c>
      <c r="C283" s="25">
        <v>8.3999996185302734</v>
      </c>
      <c r="D283" s="25">
        <v>8.3999996185302734</v>
      </c>
      <c r="E283" s="22">
        <v>73</v>
      </c>
      <c r="F283" s="22">
        <v>48</v>
      </c>
      <c r="G283" s="1" t="s">
        <v>436</v>
      </c>
      <c r="H283" s="8" t="s">
        <v>853</v>
      </c>
      <c r="J283" s="12">
        <v>0</v>
      </c>
    </row>
    <row r="284" spans="1:10" x14ac:dyDescent="0.25">
      <c r="A284" t="s">
        <v>770</v>
      </c>
      <c r="B284" t="s">
        <v>852</v>
      </c>
      <c r="C284" s="25">
        <v>8.3999996185302734</v>
      </c>
      <c r="D284" s="25">
        <v>8.3999996185302734</v>
      </c>
      <c r="E284" s="22">
        <v>73</v>
      </c>
      <c r="F284" s="22">
        <v>48</v>
      </c>
      <c r="G284" s="1" t="s">
        <v>436</v>
      </c>
      <c r="H284" s="8" t="s">
        <v>853</v>
      </c>
      <c r="J284" s="12">
        <v>0</v>
      </c>
    </row>
    <row r="285" spans="1:10" x14ac:dyDescent="0.25">
      <c r="A285" t="s">
        <v>771</v>
      </c>
      <c r="B285" t="s">
        <v>852</v>
      </c>
      <c r="C285" s="25">
        <v>8.3999996185302734</v>
      </c>
      <c r="D285" s="25">
        <v>8.3999996185302734</v>
      </c>
      <c r="E285" s="22">
        <v>73</v>
      </c>
      <c r="F285" s="22">
        <v>48</v>
      </c>
      <c r="G285" s="1" t="s">
        <v>436</v>
      </c>
      <c r="H285" s="8" t="s">
        <v>853</v>
      </c>
      <c r="J285" s="12">
        <v>0</v>
      </c>
    </row>
    <row r="286" spans="1:10" x14ac:dyDescent="0.25">
      <c r="A286" t="s">
        <v>772</v>
      </c>
      <c r="B286" t="s">
        <v>852</v>
      </c>
      <c r="C286" s="25">
        <v>8.3999996185302734</v>
      </c>
      <c r="D286" s="25">
        <v>8.3999996185302734</v>
      </c>
      <c r="E286" s="22">
        <v>73</v>
      </c>
      <c r="F286" s="22">
        <v>48</v>
      </c>
      <c r="G286" s="1" t="s">
        <v>436</v>
      </c>
      <c r="H286" s="8" t="s">
        <v>853</v>
      </c>
      <c r="J286" s="12">
        <v>0</v>
      </c>
    </row>
    <row r="287" spans="1:10" x14ac:dyDescent="0.25">
      <c r="A287" t="s">
        <v>773</v>
      </c>
      <c r="B287" t="s">
        <v>852</v>
      </c>
      <c r="C287" s="25">
        <v>8.3999996185302734</v>
      </c>
      <c r="D287" s="25">
        <v>8.3999996185302734</v>
      </c>
      <c r="E287" s="22">
        <v>73</v>
      </c>
      <c r="F287" s="22">
        <v>48</v>
      </c>
      <c r="G287" s="1" t="s">
        <v>436</v>
      </c>
      <c r="H287" s="8" t="s">
        <v>853</v>
      </c>
      <c r="J287" s="12">
        <v>0</v>
      </c>
    </row>
    <row r="288" spans="1:10" x14ac:dyDescent="0.25">
      <c r="A288" t="s">
        <v>774</v>
      </c>
      <c r="B288" t="s">
        <v>852</v>
      </c>
      <c r="C288" s="25">
        <v>8.3999996185302734</v>
      </c>
      <c r="D288" s="25">
        <v>8.3999996185302734</v>
      </c>
      <c r="E288" s="22">
        <v>73</v>
      </c>
      <c r="F288" s="22">
        <v>48</v>
      </c>
      <c r="G288" s="1" t="s">
        <v>436</v>
      </c>
      <c r="H288" s="8" t="s">
        <v>853</v>
      </c>
      <c r="J288" s="12">
        <v>0</v>
      </c>
    </row>
    <row r="289" spans="1:10" x14ac:dyDescent="0.25">
      <c r="A289" t="s">
        <v>775</v>
      </c>
      <c r="B289" t="s">
        <v>852</v>
      </c>
      <c r="C289" s="25">
        <v>8.3999996185302734</v>
      </c>
      <c r="D289" s="25">
        <v>8.3999996185302734</v>
      </c>
      <c r="E289" s="22">
        <v>73</v>
      </c>
      <c r="F289" s="22">
        <v>48</v>
      </c>
      <c r="G289" s="1" t="s">
        <v>436</v>
      </c>
      <c r="H289" s="8" t="s">
        <v>853</v>
      </c>
      <c r="J289" s="12">
        <v>0</v>
      </c>
    </row>
    <row r="290" spans="1:10" x14ac:dyDescent="0.25">
      <c r="A290" t="s">
        <v>776</v>
      </c>
      <c r="B290" t="s">
        <v>852</v>
      </c>
      <c r="C290" s="25">
        <v>8.3999996185302734</v>
      </c>
      <c r="D290" s="25">
        <v>8.3999996185302734</v>
      </c>
      <c r="E290" s="22">
        <v>73</v>
      </c>
      <c r="F290" s="22">
        <v>48</v>
      </c>
      <c r="G290" s="1" t="s">
        <v>436</v>
      </c>
      <c r="H290" s="8" t="s">
        <v>853</v>
      </c>
      <c r="J290" s="12">
        <v>0</v>
      </c>
    </row>
    <row r="291" spans="1:10" x14ac:dyDescent="0.25">
      <c r="A291" t="s">
        <v>777</v>
      </c>
      <c r="B291" t="s">
        <v>852</v>
      </c>
      <c r="C291" s="25">
        <v>8.3999996185302734</v>
      </c>
      <c r="D291" s="25">
        <v>8.3999996185302734</v>
      </c>
      <c r="E291" s="22">
        <v>73</v>
      </c>
      <c r="F291" s="22">
        <v>48</v>
      </c>
      <c r="G291" s="1" t="s">
        <v>436</v>
      </c>
      <c r="H291" s="8" t="s">
        <v>853</v>
      </c>
      <c r="J291" s="12">
        <v>0</v>
      </c>
    </row>
    <row r="292" spans="1:10" x14ac:dyDescent="0.25">
      <c r="A292" t="s">
        <v>778</v>
      </c>
      <c r="B292" t="s">
        <v>852</v>
      </c>
      <c r="C292" s="25">
        <v>8.3999996185302734</v>
      </c>
      <c r="D292" s="25">
        <v>8.3999996185302734</v>
      </c>
      <c r="E292" s="22">
        <v>73</v>
      </c>
      <c r="F292" s="22">
        <v>48</v>
      </c>
      <c r="G292" s="1" t="s">
        <v>436</v>
      </c>
      <c r="H292" s="8" t="s">
        <v>853</v>
      </c>
      <c r="J292" s="12">
        <v>0</v>
      </c>
    </row>
    <row r="293" spans="1:10" x14ac:dyDescent="0.25">
      <c r="A293" t="s">
        <v>779</v>
      </c>
      <c r="B293" t="s">
        <v>852</v>
      </c>
      <c r="C293" s="25">
        <v>8.3999996185302734</v>
      </c>
      <c r="D293" s="25">
        <v>8.3999996185302734</v>
      </c>
      <c r="E293" s="22">
        <v>73</v>
      </c>
      <c r="F293" s="22">
        <v>48</v>
      </c>
      <c r="G293" s="1" t="s">
        <v>436</v>
      </c>
      <c r="H293" s="8" t="s">
        <v>853</v>
      </c>
      <c r="J293" s="12">
        <v>0</v>
      </c>
    </row>
    <row r="294" spans="1:10" x14ac:dyDescent="0.25">
      <c r="A294" t="s">
        <v>780</v>
      </c>
      <c r="B294" t="s">
        <v>852</v>
      </c>
      <c r="C294" s="25">
        <v>8.3999996185302734</v>
      </c>
      <c r="D294" s="25">
        <v>8.3999996185302734</v>
      </c>
      <c r="E294" s="22">
        <v>73</v>
      </c>
      <c r="F294" s="22">
        <v>48</v>
      </c>
      <c r="G294" s="1" t="s">
        <v>436</v>
      </c>
      <c r="H294" s="8" t="s">
        <v>853</v>
      </c>
      <c r="J294" s="12">
        <v>0</v>
      </c>
    </row>
    <row r="295" spans="1:10" x14ac:dyDescent="0.25">
      <c r="A295" t="s">
        <v>781</v>
      </c>
      <c r="B295" t="s">
        <v>852</v>
      </c>
      <c r="C295" s="25">
        <v>8.3999996185302734</v>
      </c>
      <c r="D295" s="25">
        <v>8.3999996185302734</v>
      </c>
      <c r="E295" s="22">
        <v>73</v>
      </c>
      <c r="F295" s="22">
        <v>48</v>
      </c>
      <c r="G295" s="1" t="s">
        <v>436</v>
      </c>
      <c r="H295" s="8" t="s">
        <v>853</v>
      </c>
      <c r="J295" s="12">
        <v>0</v>
      </c>
    </row>
    <row r="296" spans="1:10" x14ac:dyDescent="0.25">
      <c r="A296" t="s">
        <v>782</v>
      </c>
      <c r="B296" t="s">
        <v>852</v>
      </c>
      <c r="C296" s="25">
        <v>8.3999996185302734</v>
      </c>
      <c r="D296" s="25">
        <v>8.3999996185302734</v>
      </c>
      <c r="E296" s="22">
        <v>73</v>
      </c>
      <c r="F296" s="22">
        <v>48</v>
      </c>
      <c r="G296" s="1" t="s">
        <v>436</v>
      </c>
      <c r="H296" s="8" t="s">
        <v>853</v>
      </c>
      <c r="J296" s="12">
        <v>0</v>
      </c>
    </row>
    <row r="297" spans="1:10" x14ac:dyDescent="0.25">
      <c r="A297" t="s">
        <v>783</v>
      </c>
      <c r="B297" t="s">
        <v>852</v>
      </c>
      <c r="C297" s="25">
        <v>15.753806114196777</v>
      </c>
      <c r="D297" s="25">
        <v>15.753806114196777</v>
      </c>
      <c r="E297" s="22">
        <v>73</v>
      </c>
      <c r="F297" s="22">
        <v>48</v>
      </c>
      <c r="G297" s="1" t="s">
        <v>436</v>
      </c>
      <c r="H297" s="8" t="s">
        <v>853</v>
      </c>
      <c r="J297" s="12">
        <v>0</v>
      </c>
    </row>
    <row r="298" spans="1:10" x14ac:dyDescent="0.25">
      <c r="A298" t="s">
        <v>784</v>
      </c>
      <c r="B298" t="s">
        <v>852</v>
      </c>
      <c r="C298" s="25">
        <v>14.886141777038574</v>
      </c>
      <c r="D298" s="25">
        <v>14.886141777038574</v>
      </c>
      <c r="E298" s="22">
        <v>73</v>
      </c>
      <c r="F298" s="22">
        <v>48</v>
      </c>
      <c r="G298" s="1" t="s">
        <v>436</v>
      </c>
      <c r="H298" s="8" t="s">
        <v>853</v>
      </c>
      <c r="J298" s="12">
        <v>0</v>
      </c>
    </row>
    <row r="299" spans="1:10" x14ac:dyDescent="0.25">
      <c r="A299" t="s">
        <v>785</v>
      </c>
      <c r="B299" t="s">
        <v>852</v>
      </c>
      <c r="C299" s="25">
        <v>14.018477439880371</v>
      </c>
      <c r="D299" s="25">
        <v>14.018477439880371</v>
      </c>
      <c r="E299" s="22">
        <v>73</v>
      </c>
      <c r="F299" s="22">
        <v>48</v>
      </c>
      <c r="G299" s="1" t="s">
        <v>436</v>
      </c>
      <c r="H299" s="8" t="s">
        <v>853</v>
      </c>
      <c r="J299" s="12">
        <v>0</v>
      </c>
    </row>
    <row r="300" spans="1:10" x14ac:dyDescent="0.25">
      <c r="A300" t="s">
        <v>786</v>
      </c>
      <c r="B300" t="s">
        <v>852</v>
      </c>
      <c r="C300" s="25">
        <v>13.150813102722168</v>
      </c>
      <c r="D300" s="25">
        <v>13.150813102722168</v>
      </c>
      <c r="E300" s="22">
        <v>73</v>
      </c>
      <c r="F300" s="22">
        <v>48</v>
      </c>
      <c r="G300" s="1" t="s">
        <v>436</v>
      </c>
      <c r="H300" s="8" t="s">
        <v>853</v>
      </c>
      <c r="J300" s="12">
        <v>0</v>
      </c>
    </row>
    <row r="301" spans="1:10" x14ac:dyDescent="0.25">
      <c r="A301" t="s">
        <v>787</v>
      </c>
      <c r="B301" t="s">
        <v>852</v>
      </c>
      <c r="C301" s="25">
        <v>12.283148765563965</v>
      </c>
      <c r="D301" s="25">
        <v>12.283148765563965</v>
      </c>
      <c r="E301" s="22">
        <v>73</v>
      </c>
      <c r="F301" s="22">
        <v>48</v>
      </c>
      <c r="G301" s="1" t="s">
        <v>436</v>
      </c>
      <c r="H301" s="8" t="s">
        <v>853</v>
      </c>
      <c r="J301" s="12">
        <v>0</v>
      </c>
    </row>
    <row r="302" spans="1:10" x14ac:dyDescent="0.25">
      <c r="A302" t="s">
        <v>788</v>
      </c>
      <c r="B302" t="s">
        <v>852</v>
      </c>
      <c r="C302" s="25">
        <v>0.23096992075443268</v>
      </c>
      <c r="D302" s="25">
        <v>0.23096992075443268</v>
      </c>
      <c r="E302" s="22">
        <v>73</v>
      </c>
      <c r="F302" s="22">
        <v>48</v>
      </c>
      <c r="G302" s="1" t="s">
        <v>436</v>
      </c>
      <c r="H302" s="8" t="s">
        <v>853</v>
      </c>
      <c r="J302" s="12">
        <v>0</v>
      </c>
    </row>
    <row r="303" spans="1:10" x14ac:dyDescent="0.25">
      <c r="A303" t="s">
        <v>789</v>
      </c>
      <c r="B303" t="s">
        <v>852</v>
      </c>
      <c r="C303" s="25">
        <v>10.899999618530273</v>
      </c>
      <c r="D303" s="25">
        <v>10.899999618530273</v>
      </c>
      <c r="E303" s="22">
        <v>73</v>
      </c>
      <c r="F303" s="22">
        <v>48</v>
      </c>
      <c r="G303" s="1" t="s">
        <v>436</v>
      </c>
      <c r="H303" s="8" t="s">
        <v>853</v>
      </c>
      <c r="J303" s="12">
        <v>0</v>
      </c>
    </row>
    <row r="304" spans="1:10" x14ac:dyDescent="0.25">
      <c r="A304" t="s">
        <v>790</v>
      </c>
      <c r="B304" t="s">
        <v>852</v>
      </c>
      <c r="C304" s="25">
        <v>5</v>
      </c>
      <c r="D304" s="25">
        <v>5</v>
      </c>
      <c r="E304" s="22">
        <v>73</v>
      </c>
      <c r="F304" s="22">
        <v>48</v>
      </c>
      <c r="G304" s="1" t="s">
        <v>436</v>
      </c>
      <c r="H304" s="8" t="s">
        <v>853</v>
      </c>
      <c r="J304" s="12">
        <v>0</v>
      </c>
    </row>
    <row r="305" spans="1:10" x14ac:dyDescent="0.25">
      <c r="A305" t="s">
        <v>791</v>
      </c>
      <c r="B305" t="s">
        <v>852</v>
      </c>
      <c r="C305" s="25">
        <v>4</v>
      </c>
      <c r="D305" s="25">
        <v>4</v>
      </c>
      <c r="E305" s="22">
        <v>73</v>
      </c>
      <c r="F305" s="22">
        <v>48</v>
      </c>
      <c r="G305" s="1" t="s">
        <v>436</v>
      </c>
      <c r="H305" s="8" t="s">
        <v>853</v>
      </c>
      <c r="J305" s="12">
        <v>0</v>
      </c>
    </row>
    <row r="306" spans="1:10" x14ac:dyDescent="0.25">
      <c r="A306" t="s">
        <v>792</v>
      </c>
      <c r="B306" t="s">
        <v>852</v>
      </c>
      <c r="C306" s="25">
        <v>5</v>
      </c>
      <c r="D306" s="25">
        <v>5</v>
      </c>
      <c r="E306" s="22">
        <v>73</v>
      </c>
      <c r="F306" s="22">
        <v>48</v>
      </c>
      <c r="G306" s="1" t="s">
        <v>436</v>
      </c>
      <c r="H306" s="8" t="s">
        <v>853</v>
      </c>
      <c r="J306" s="12">
        <v>0</v>
      </c>
    </row>
    <row r="307" spans="1:10" x14ac:dyDescent="0.25">
      <c r="A307" t="s">
        <v>793</v>
      </c>
      <c r="B307" t="s">
        <v>852</v>
      </c>
      <c r="C307" s="25">
        <v>4</v>
      </c>
      <c r="D307" s="25">
        <v>4</v>
      </c>
      <c r="E307" s="22">
        <v>73</v>
      </c>
      <c r="F307" s="22">
        <v>48</v>
      </c>
      <c r="G307" s="1" t="s">
        <v>436</v>
      </c>
      <c r="H307" s="8" t="s">
        <v>853</v>
      </c>
      <c r="J307" s="12">
        <v>0</v>
      </c>
    </row>
    <row r="308" spans="1:10" x14ac:dyDescent="0.25">
      <c r="A308" t="s">
        <v>794</v>
      </c>
      <c r="B308" t="s">
        <v>852</v>
      </c>
      <c r="C308" s="25">
        <v>5</v>
      </c>
      <c r="D308" s="25">
        <v>5</v>
      </c>
      <c r="E308" s="22">
        <v>73</v>
      </c>
      <c r="F308" s="22">
        <v>48</v>
      </c>
      <c r="G308" s="1" t="s">
        <v>436</v>
      </c>
      <c r="H308" s="8" t="s">
        <v>853</v>
      </c>
      <c r="J308" s="12">
        <v>0</v>
      </c>
    </row>
    <row r="309" spans="1:10" x14ac:dyDescent="0.25">
      <c r="A309" t="s">
        <v>795</v>
      </c>
      <c r="B309" t="s">
        <v>852</v>
      </c>
      <c r="C309" s="25">
        <v>4</v>
      </c>
      <c r="D309" s="25">
        <v>4</v>
      </c>
      <c r="E309" s="22">
        <v>73</v>
      </c>
      <c r="F309" s="22">
        <v>48</v>
      </c>
      <c r="G309" s="1" t="s">
        <v>436</v>
      </c>
      <c r="H309" s="8" t="s">
        <v>853</v>
      </c>
      <c r="J309" s="12">
        <v>0</v>
      </c>
    </row>
    <row r="310" spans="1:10" x14ac:dyDescent="0.25">
      <c r="A310" t="s">
        <v>796</v>
      </c>
      <c r="B310" t="s">
        <v>852</v>
      </c>
      <c r="C310" s="25">
        <v>5</v>
      </c>
      <c r="D310" s="25">
        <v>5</v>
      </c>
      <c r="E310" s="22">
        <v>73</v>
      </c>
      <c r="F310" s="22">
        <v>48</v>
      </c>
      <c r="G310" s="1" t="s">
        <v>436</v>
      </c>
      <c r="H310" s="8" t="s">
        <v>853</v>
      </c>
      <c r="J310" s="12">
        <v>0</v>
      </c>
    </row>
    <row r="311" spans="1:10" x14ac:dyDescent="0.25">
      <c r="A311" t="s">
        <v>797</v>
      </c>
      <c r="B311" t="s">
        <v>852</v>
      </c>
      <c r="C311" s="25">
        <v>3.9999997615814209</v>
      </c>
      <c r="D311" s="25">
        <v>3.9999997615814209</v>
      </c>
      <c r="E311" s="22">
        <v>73</v>
      </c>
      <c r="F311" s="22">
        <v>48</v>
      </c>
      <c r="G311" s="1" t="s">
        <v>436</v>
      </c>
      <c r="H311" s="8" t="s">
        <v>853</v>
      </c>
      <c r="J311" s="12">
        <v>0</v>
      </c>
    </row>
    <row r="312" spans="1:10" x14ac:dyDescent="0.25">
      <c r="A312" t="s">
        <v>798</v>
      </c>
      <c r="B312" t="s">
        <v>852</v>
      </c>
      <c r="C312" s="25">
        <v>4.9999999999999982</v>
      </c>
      <c r="D312" s="25">
        <v>4.9999999999999982</v>
      </c>
      <c r="E312" s="22">
        <v>73</v>
      </c>
      <c r="F312" s="22">
        <v>48</v>
      </c>
      <c r="G312" s="1" t="s">
        <v>436</v>
      </c>
      <c r="H312" s="8" t="s">
        <v>853</v>
      </c>
      <c r="J312" s="12">
        <v>0</v>
      </c>
    </row>
    <row r="313" spans="1:10" x14ac:dyDescent="0.25">
      <c r="A313" t="s">
        <v>799</v>
      </c>
      <c r="B313" t="s">
        <v>852</v>
      </c>
      <c r="C313" s="25">
        <v>3.9999997615814209</v>
      </c>
      <c r="D313" s="25">
        <v>3.9999997615814209</v>
      </c>
      <c r="E313" s="22">
        <v>73</v>
      </c>
      <c r="F313" s="22">
        <v>48</v>
      </c>
      <c r="G313" s="1" t="s">
        <v>436</v>
      </c>
      <c r="H313" s="8" t="s">
        <v>853</v>
      </c>
      <c r="J313" s="12">
        <v>0</v>
      </c>
    </row>
    <row r="314" spans="1:10" x14ac:dyDescent="0.25">
      <c r="A314" t="s">
        <v>800</v>
      </c>
      <c r="B314" t="s">
        <v>852</v>
      </c>
      <c r="C314" s="25">
        <v>7.8309698104858416</v>
      </c>
      <c r="D314" s="25">
        <v>7.8309698104858416</v>
      </c>
      <c r="E314" s="22">
        <v>73</v>
      </c>
      <c r="F314" s="22">
        <v>48</v>
      </c>
      <c r="G314" s="1" t="s">
        <v>436</v>
      </c>
      <c r="H314" s="8" t="s">
        <v>853</v>
      </c>
      <c r="J314" s="12">
        <v>0</v>
      </c>
    </row>
    <row r="315" spans="1:10" x14ac:dyDescent="0.25">
      <c r="A315" t="s">
        <v>801</v>
      </c>
      <c r="B315" t="s">
        <v>852</v>
      </c>
      <c r="C315" s="25">
        <v>7.6461939811706543</v>
      </c>
      <c r="D315" s="25">
        <v>7.6461939811706543</v>
      </c>
      <c r="E315" s="22">
        <v>73</v>
      </c>
      <c r="F315" s="22">
        <v>48</v>
      </c>
      <c r="G315" s="1" t="s">
        <v>436</v>
      </c>
      <c r="H315" s="8" t="s">
        <v>853</v>
      </c>
      <c r="J315" s="12">
        <v>0</v>
      </c>
    </row>
    <row r="316" spans="1:10" x14ac:dyDescent="0.25">
      <c r="A316" t="s">
        <v>802</v>
      </c>
      <c r="B316" t="s">
        <v>852</v>
      </c>
      <c r="C316" s="25">
        <v>8.5138578414916992</v>
      </c>
      <c r="D316" s="25">
        <v>8.5138578414916992</v>
      </c>
      <c r="E316" s="22">
        <v>73</v>
      </c>
      <c r="F316" s="22">
        <v>48</v>
      </c>
      <c r="G316" s="1" t="s">
        <v>436</v>
      </c>
      <c r="H316" s="8" t="s">
        <v>853</v>
      </c>
      <c r="J316" s="12">
        <v>0</v>
      </c>
    </row>
    <row r="317" spans="1:10" x14ac:dyDescent="0.25">
      <c r="A317" t="s">
        <v>803</v>
      </c>
      <c r="B317" t="s">
        <v>852</v>
      </c>
      <c r="C317" s="25">
        <v>2.880000114440918</v>
      </c>
      <c r="D317" s="25">
        <v>2.880000114440918</v>
      </c>
      <c r="E317" s="22">
        <v>73</v>
      </c>
      <c r="F317" s="22">
        <v>48</v>
      </c>
      <c r="G317" s="1" t="s">
        <v>436</v>
      </c>
      <c r="H317" s="8" t="s">
        <v>853</v>
      </c>
      <c r="J317" s="12">
        <v>0</v>
      </c>
    </row>
    <row r="318" spans="1:10" x14ac:dyDescent="0.25">
      <c r="A318" t="s">
        <v>804</v>
      </c>
      <c r="B318" t="s">
        <v>852</v>
      </c>
      <c r="C318" s="25">
        <v>5.6015219688415527</v>
      </c>
      <c r="D318" s="25">
        <v>5.6015219688415527</v>
      </c>
      <c r="E318" s="22">
        <v>73</v>
      </c>
      <c r="F318" s="22">
        <v>48</v>
      </c>
      <c r="G318" s="1" t="s">
        <v>436</v>
      </c>
      <c r="H318" s="8" t="s">
        <v>853</v>
      </c>
      <c r="J318" s="12">
        <v>0</v>
      </c>
    </row>
    <row r="319" spans="1:10" x14ac:dyDescent="0.25">
      <c r="A319" t="s">
        <v>805</v>
      </c>
      <c r="B319" t="s">
        <v>852</v>
      </c>
      <c r="C319" s="25">
        <v>10.249185562133789</v>
      </c>
      <c r="D319" s="25">
        <v>10.249185562133789</v>
      </c>
      <c r="E319" s="22">
        <v>73</v>
      </c>
      <c r="F319" s="22">
        <v>48</v>
      </c>
      <c r="G319" s="1" t="s">
        <v>436</v>
      </c>
      <c r="H319" s="8" t="s">
        <v>853</v>
      </c>
      <c r="J319" s="12">
        <v>0</v>
      </c>
    </row>
    <row r="320" spans="1:10" x14ac:dyDescent="0.25">
      <c r="A320" t="s">
        <v>806</v>
      </c>
      <c r="B320" t="s">
        <v>852</v>
      </c>
      <c r="C320" s="25">
        <v>11.116849899291992</v>
      </c>
      <c r="D320" s="25">
        <v>11.116849899291992</v>
      </c>
      <c r="E320" s="22">
        <v>73</v>
      </c>
      <c r="F320" s="22">
        <v>48</v>
      </c>
      <c r="G320" s="1" t="s">
        <v>436</v>
      </c>
      <c r="H320" s="8" t="s">
        <v>853</v>
      </c>
      <c r="J320" s="12">
        <v>0</v>
      </c>
    </row>
    <row r="321" spans="1:10" x14ac:dyDescent="0.25">
      <c r="A321" t="s">
        <v>807</v>
      </c>
      <c r="B321" t="s">
        <v>852</v>
      </c>
      <c r="C321" s="25">
        <v>11.284515380859375</v>
      </c>
      <c r="D321" s="25">
        <v>11.284515380859375</v>
      </c>
      <c r="E321" s="22">
        <v>73</v>
      </c>
      <c r="F321" s="22">
        <v>48</v>
      </c>
      <c r="G321" s="1" t="s">
        <v>436</v>
      </c>
      <c r="H321" s="8" t="s">
        <v>853</v>
      </c>
      <c r="J321" s="12">
        <v>0</v>
      </c>
    </row>
    <row r="322" spans="1:10" x14ac:dyDescent="0.25">
      <c r="A322" t="s">
        <v>808</v>
      </c>
      <c r="B322" t="s">
        <v>852</v>
      </c>
      <c r="C322" s="25">
        <v>7.6461939811706543</v>
      </c>
      <c r="D322" s="25">
        <v>7.6461939811706543</v>
      </c>
      <c r="E322" s="22">
        <v>73</v>
      </c>
      <c r="F322" s="22">
        <v>48</v>
      </c>
      <c r="G322" s="1" t="s">
        <v>436</v>
      </c>
      <c r="H322" s="8" t="s">
        <v>853</v>
      </c>
      <c r="J322" s="12">
        <v>0</v>
      </c>
    </row>
    <row r="323" spans="1:10" x14ac:dyDescent="0.25">
      <c r="A323" t="s">
        <v>809</v>
      </c>
      <c r="B323" t="s">
        <v>852</v>
      </c>
      <c r="C323" s="25">
        <v>8.5138578414916992</v>
      </c>
      <c r="D323" s="25">
        <v>8.5138578414916992</v>
      </c>
      <c r="E323" s="22">
        <v>73</v>
      </c>
      <c r="F323" s="22">
        <v>48</v>
      </c>
      <c r="G323" s="1" t="s">
        <v>436</v>
      </c>
      <c r="H323" s="8" t="s">
        <v>853</v>
      </c>
      <c r="J323" s="12">
        <v>0</v>
      </c>
    </row>
    <row r="324" spans="1:10" x14ac:dyDescent="0.25">
      <c r="A324" t="s">
        <v>810</v>
      </c>
      <c r="B324" t="s">
        <v>852</v>
      </c>
      <c r="C324" s="25">
        <v>9.3815221786499023</v>
      </c>
      <c r="D324" s="25">
        <v>9.3815221786499023</v>
      </c>
      <c r="E324" s="22">
        <v>73</v>
      </c>
      <c r="F324" s="22">
        <v>48</v>
      </c>
      <c r="G324" s="1" t="s">
        <v>436</v>
      </c>
      <c r="H324" s="8" t="s">
        <v>853</v>
      </c>
      <c r="J324" s="12">
        <v>0</v>
      </c>
    </row>
    <row r="325" spans="1:10" x14ac:dyDescent="0.25">
      <c r="A325" t="s">
        <v>811</v>
      </c>
      <c r="B325" t="s">
        <v>852</v>
      </c>
      <c r="C325" s="25">
        <v>10.249185562133789</v>
      </c>
      <c r="D325" s="25">
        <v>10.249185562133789</v>
      </c>
      <c r="E325" s="22">
        <v>73</v>
      </c>
      <c r="F325" s="22">
        <v>48</v>
      </c>
      <c r="G325" s="1" t="s">
        <v>436</v>
      </c>
      <c r="H325" s="8" t="s">
        <v>853</v>
      </c>
      <c r="J325" s="12">
        <v>0</v>
      </c>
    </row>
    <row r="326" spans="1:10" x14ac:dyDescent="0.25">
      <c r="A326" t="s">
        <v>812</v>
      </c>
      <c r="B326" t="s">
        <v>852</v>
      </c>
      <c r="C326" s="25">
        <v>11.116849899291992</v>
      </c>
      <c r="D326" s="25">
        <v>11.116849899291992</v>
      </c>
      <c r="E326" s="22">
        <v>73</v>
      </c>
      <c r="F326" s="22">
        <v>48</v>
      </c>
      <c r="G326" s="1" t="s">
        <v>436</v>
      </c>
      <c r="H326" s="8" t="s">
        <v>853</v>
      </c>
      <c r="J326" s="12">
        <v>0</v>
      </c>
    </row>
    <row r="327" spans="1:10" x14ac:dyDescent="0.25">
      <c r="A327" t="s">
        <v>813</v>
      </c>
      <c r="B327" t="s">
        <v>852</v>
      </c>
      <c r="C327" s="25">
        <v>11.284515380859375</v>
      </c>
      <c r="D327" s="25">
        <v>11.284515380859375</v>
      </c>
      <c r="E327" s="22">
        <v>73</v>
      </c>
      <c r="F327" s="22">
        <v>48</v>
      </c>
      <c r="G327" s="1" t="s">
        <v>436</v>
      </c>
      <c r="H327" s="8" t="s">
        <v>853</v>
      </c>
      <c r="J327" s="12">
        <v>0</v>
      </c>
    </row>
    <row r="328" spans="1:10" x14ac:dyDescent="0.25">
      <c r="A328" t="s">
        <v>814</v>
      </c>
      <c r="B328" t="s">
        <v>852</v>
      </c>
      <c r="C328" s="25">
        <v>8.9076118469238281</v>
      </c>
      <c r="D328" s="25">
        <v>8.9076118469238281</v>
      </c>
      <c r="E328" s="22">
        <v>73</v>
      </c>
      <c r="F328" s="22">
        <v>48</v>
      </c>
      <c r="G328" s="1" t="s">
        <v>436</v>
      </c>
      <c r="H328" s="8" t="s">
        <v>853</v>
      </c>
      <c r="J328" s="12">
        <v>0</v>
      </c>
    </row>
    <row r="329" spans="1:10" x14ac:dyDescent="0.25">
      <c r="A329" t="s">
        <v>815</v>
      </c>
      <c r="B329" t="s">
        <v>852</v>
      </c>
      <c r="C329" s="25">
        <v>7.1722836494445801</v>
      </c>
      <c r="D329" s="25">
        <v>7.1722836494445801</v>
      </c>
      <c r="E329" s="22">
        <v>73</v>
      </c>
      <c r="F329" s="22">
        <v>48</v>
      </c>
      <c r="G329" s="1" t="s">
        <v>436</v>
      </c>
      <c r="H329" s="8" t="s">
        <v>853</v>
      </c>
      <c r="J329" s="12">
        <v>0</v>
      </c>
    </row>
    <row r="330" spans="1:10" x14ac:dyDescent="0.25">
      <c r="A330" t="s">
        <v>816</v>
      </c>
      <c r="B330" t="s">
        <v>852</v>
      </c>
      <c r="C330" s="25">
        <v>5.4369549751281738</v>
      </c>
      <c r="D330" s="25">
        <v>5.4369549751281738</v>
      </c>
      <c r="E330" s="22">
        <v>73</v>
      </c>
      <c r="F330" s="22">
        <v>48</v>
      </c>
      <c r="G330" s="1" t="s">
        <v>436</v>
      </c>
      <c r="H330" s="8" t="s">
        <v>853</v>
      </c>
      <c r="J330" s="12">
        <v>0</v>
      </c>
    </row>
    <row r="331" spans="1:10" x14ac:dyDescent="0.25">
      <c r="A331" t="s">
        <v>817</v>
      </c>
      <c r="B331" t="s">
        <v>852</v>
      </c>
      <c r="C331" s="25">
        <v>3.7016267776489258</v>
      </c>
      <c r="D331" s="25">
        <v>3.7016267776489258</v>
      </c>
      <c r="E331" s="22">
        <v>73</v>
      </c>
      <c r="F331" s="22">
        <v>48</v>
      </c>
      <c r="G331" s="1" t="s">
        <v>436</v>
      </c>
      <c r="H331" s="8" t="s">
        <v>853</v>
      </c>
      <c r="J331" s="12">
        <v>0</v>
      </c>
    </row>
    <row r="332" spans="1:10" x14ac:dyDescent="0.25">
      <c r="A332" t="s">
        <v>818</v>
      </c>
      <c r="B332" t="s">
        <v>852</v>
      </c>
      <c r="C332" s="25">
        <v>1.9662983417510986</v>
      </c>
      <c r="D332" s="25">
        <v>1.9662983417510986</v>
      </c>
      <c r="E332" s="22">
        <v>73</v>
      </c>
      <c r="F332" s="22">
        <v>48</v>
      </c>
      <c r="G332" s="1" t="s">
        <v>436</v>
      </c>
      <c r="H332" s="8" t="s">
        <v>853</v>
      </c>
      <c r="J332" s="12">
        <v>0</v>
      </c>
    </row>
    <row r="333" spans="1:10" x14ac:dyDescent="0.25">
      <c r="A333" t="s">
        <v>819</v>
      </c>
      <c r="B333" t="s">
        <v>852</v>
      </c>
      <c r="C333" s="25">
        <v>0.23096989095211029</v>
      </c>
      <c r="D333" s="25">
        <v>0.23096989095211029</v>
      </c>
      <c r="E333" s="22">
        <v>73</v>
      </c>
      <c r="F333" s="22">
        <v>48</v>
      </c>
      <c r="G333" s="1" t="s">
        <v>436</v>
      </c>
      <c r="H333" s="8" t="s">
        <v>853</v>
      </c>
      <c r="J333" s="12">
        <v>0</v>
      </c>
    </row>
    <row r="334" spans="1:10" x14ac:dyDescent="0.25">
      <c r="A334" t="s">
        <v>820</v>
      </c>
      <c r="B334" t="s">
        <v>852</v>
      </c>
      <c r="C334" s="25">
        <v>8.3999996185302734</v>
      </c>
      <c r="D334" s="25">
        <v>8.3999996185302734</v>
      </c>
      <c r="E334" s="22">
        <v>73</v>
      </c>
      <c r="F334" s="22">
        <v>48</v>
      </c>
      <c r="G334" s="1" t="s">
        <v>436</v>
      </c>
      <c r="H334" s="8" t="s">
        <v>853</v>
      </c>
      <c r="J334" s="12">
        <v>0</v>
      </c>
    </row>
    <row r="335" spans="1:10" x14ac:dyDescent="0.25">
      <c r="A335" t="s">
        <v>821</v>
      </c>
      <c r="B335" t="s">
        <v>852</v>
      </c>
      <c r="C335" s="25">
        <v>8.3999996185302734</v>
      </c>
      <c r="D335" s="25">
        <v>8.3999996185302734</v>
      </c>
      <c r="E335" s="22">
        <v>73</v>
      </c>
      <c r="F335" s="22">
        <v>48</v>
      </c>
      <c r="G335" s="1" t="s">
        <v>436</v>
      </c>
      <c r="H335" s="8" t="s">
        <v>853</v>
      </c>
      <c r="J335" s="12">
        <v>0</v>
      </c>
    </row>
    <row r="336" spans="1:10" x14ac:dyDescent="0.25">
      <c r="A336" t="s">
        <v>822</v>
      </c>
      <c r="B336" t="s">
        <v>852</v>
      </c>
      <c r="C336" s="25">
        <v>8.3999996185302734</v>
      </c>
      <c r="D336" s="25">
        <v>8.3999996185302734</v>
      </c>
      <c r="E336" s="22">
        <v>73</v>
      </c>
      <c r="F336" s="22">
        <v>48</v>
      </c>
      <c r="G336" s="1" t="s">
        <v>436</v>
      </c>
      <c r="H336" s="8" t="s">
        <v>853</v>
      </c>
      <c r="J336" s="12">
        <v>0</v>
      </c>
    </row>
    <row r="337" spans="1:10" x14ac:dyDescent="0.25">
      <c r="A337" t="s">
        <v>823</v>
      </c>
      <c r="B337" t="s">
        <v>852</v>
      </c>
      <c r="C337" s="25">
        <v>8.3999996185302734</v>
      </c>
      <c r="D337" s="25">
        <v>8.3999996185302734</v>
      </c>
      <c r="E337" s="22">
        <v>73</v>
      </c>
      <c r="F337" s="22">
        <v>48</v>
      </c>
      <c r="G337" s="1" t="s">
        <v>436</v>
      </c>
      <c r="H337" s="8" t="s">
        <v>853</v>
      </c>
      <c r="J337" s="12">
        <v>0</v>
      </c>
    </row>
    <row r="338" spans="1:10" x14ac:dyDescent="0.25">
      <c r="A338" t="s">
        <v>824</v>
      </c>
      <c r="B338" t="s">
        <v>852</v>
      </c>
      <c r="C338" s="25">
        <v>8.3999996185302734</v>
      </c>
      <c r="D338" s="25">
        <v>8.3999996185302734</v>
      </c>
      <c r="E338" s="22">
        <v>73</v>
      </c>
      <c r="F338" s="22">
        <v>48</v>
      </c>
      <c r="G338" s="1" t="s">
        <v>436</v>
      </c>
      <c r="H338" s="8" t="s">
        <v>853</v>
      </c>
      <c r="J338" s="12">
        <v>0</v>
      </c>
    </row>
    <row r="339" spans="1:10" x14ac:dyDescent="0.25">
      <c r="A339" t="s">
        <v>825</v>
      </c>
      <c r="B339" t="s">
        <v>852</v>
      </c>
      <c r="C339" s="25">
        <v>7.8309698104858398</v>
      </c>
      <c r="D339" s="25">
        <v>7.8309698104858398</v>
      </c>
      <c r="E339" s="22">
        <v>73</v>
      </c>
      <c r="F339" s="22">
        <v>48</v>
      </c>
      <c r="G339" s="1" t="s">
        <v>436</v>
      </c>
      <c r="H339" s="8" t="s">
        <v>853</v>
      </c>
      <c r="J339" s="12">
        <v>0</v>
      </c>
    </row>
    <row r="340" spans="1:10" x14ac:dyDescent="0.25">
      <c r="A340" t="s">
        <v>826</v>
      </c>
      <c r="B340" t="s">
        <v>852</v>
      </c>
      <c r="C340" s="25">
        <v>6.846193790435791</v>
      </c>
      <c r="D340" s="25">
        <v>6.846193790435791</v>
      </c>
      <c r="E340" s="22">
        <v>73</v>
      </c>
      <c r="F340" s="22">
        <v>48</v>
      </c>
      <c r="G340" s="1" t="s">
        <v>436</v>
      </c>
      <c r="H340" s="8" t="s">
        <v>853</v>
      </c>
      <c r="J340" s="12">
        <v>0</v>
      </c>
    </row>
    <row r="341" spans="1:10" x14ac:dyDescent="0.25">
      <c r="A341" t="s">
        <v>827</v>
      </c>
      <c r="B341" t="s">
        <v>852</v>
      </c>
      <c r="C341" s="25">
        <v>7.7138581275939941</v>
      </c>
      <c r="D341" s="25">
        <v>7.7138581275939941</v>
      </c>
      <c r="E341" s="22">
        <v>73</v>
      </c>
      <c r="F341" s="22">
        <v>48</v>
      </c>
      <c r="G341" s="1" t="s">
        <v>436</v>
      </c>
      <c r="H341" s="8" t="s">
        <v>853</v>
      </c>
      <c r="J341" s="12">
        <v>0</v>
      </c>
    </row>
    <row r="342" spans="1:10" x14ac:dyDescent="0.25">
      <c r="A342" t="s">
        <v>828</v>
      </c>
      <c r="B342" t="s">
        <v>852</v>
      </c>
      <c r="C342" s="25">
        <v>8.5815219879150391</v>
      </c>
      <c r="D342" s="25">
        <v>8.5815219879150391</v>
      </c>
      <c r="E342" s="22">
        <v>73</v>
      </c>
      <c r="F342" s="22">
        <v>48</v>
      </c>
      <c r="G342" s="1" t="s">
        <v>436</v>
      </c>
      <c r="H342" s="8" t="s">
        <v>853</v>
      </c>
      <c r="J342" s="12">
        <v>0</v>
      </c>
    </row>
    <row r="343" spans="1:10" x14ac:dyDescent="0.25">
      <c r="A343" t="s">
        <v>829</v>
      </c>
      <c r="B343" t="s">
        <v>852</v>
      </c>
      <c r="C343" s="25">
        <v>9.4491863250732422</v>
      </c>
      <c r="D343" s="25">
        <v>9.4491863250732422</v>
      </c>
      <c r="E343" s="22">
        <v>73</v>
      </c>
      <c r="F343" s="22">
        <v>48</v>
      </c>
      <c r="G343" s="1" t="s">
        <v>436</v>
      </c>
      <c r="H343" s="8" t="s">
        <v>853</v>
      </c>
      <c r="J343" s="12">
        <v>0</v>
      </c>
    </row>
    <row r="344" spans="1:10" x14ac:dyDescent="0.25">
      <c r="A344" t="s">
        <v>830</v>
      </c>
      <c r="B344" t="s">
        <v>852</v>
      </c>
      <c r="C344" s="25">
        <v>10.316849708557129</v>
      </c>
      <c r="D344" s="25">
        <v>10.316849708557129</v>
      </c>
      <c r="E344" s="22">
        <v>73</v>
      </c>
      <c r="F344" s="22">
        <v>48</v>
      </c>
      <c r="G344" s="1" t="s">
        <v>436</v>
      </c>
      <c r="H344" s="8" t="s">
        <v>853</v>
      </c>
      <c r="J344" s="12">
        <v>0</v>
      </c>
    </row>
    <row r="345" spans="1:10" x14ac:dyDescent="0.25">
      <c r="A345" t="s">
        <v>831</v>
      </c>
      <c r="B345" t="s">
        <v>852</v>
      </c>
      <c r="C345" s="25">
        <v>10.784515380859375</v>
      </c>
      <c r="D345" s="25">
        <v>10.784515380859375</v>
      </c>
      <c r="E345" s="22">
        <v>73</v>
      </c>
      <c r="F345" s="22">
        <v>48</v>
      </c>
      <c r="G345" s="1" t="s">
        <v>436</v>
      </c>
      <c r="H345" s="8" t="s">
        <v>853</v>
      </c>
      <c r="J345" s="12">
        <v>0</v>
      </c>
    </row>
    <row r="346" spans="1:10" x14ac:dyDescent="0.25">
      <c r="A346" t="s">
        <v>832</v>
      </c>
      <c r="B346" t="s">
        <v>852</v>
      </c>
      <c r="C346" s="25">
        <v>8.3999996185302734</v>
      </c>
      <c r="D346" s="25">
        <v>8.3999996185302734</v>
      </c>
      <c r="E346" s="22">
        <v>73</v>
      </c>
      <c r="F346" s="22">
        <v>48</v>
      </c>
      <c r="G346" s="1" t="s">
        <v>436</v>
      </c>
      <c r="H346" s="8" t="s">
        <v>853</v>
      </c>
      <c r="J346" s="12">
        <v>0</v>
      </c>
    </row>
    <row r="347" spans="1:10" x14ac:dyDescent="0.25">
      <c r="A347" t="s">
        <v>833</v>
      </c>
      <c r="B347" t="s">
        <v>852</v>
      </c>
      <c r="C347" s="25">
        <v>8.3999996185302734</v>
      </c>
      <c r="D347" s="25">
        <v>8.3999996185302734</v>
      </c>
      <c r="E347" s="22">
        <v>73</v>
      </c>
      <c r="F347" s="22">
        <v>48</v>
      </c>
      <c r="G347" s="1" t="s">
        <v>436</v>
      </c>
      <c r="H347" s="8" t="s">
        <v>853</v>
      </c>
      <c r="J347" s="12">
        <v>0</v>
      </c>
    </row>
    <row r="348" spans="1:10" x14ac:dyDescent="0.25">
      <c r="A348" t="s">
        <v>834</v>
      </c>
      <c r="B348" t="s">
        <v>852</v>
      </c>
      <c r="C348" s="25">
        <v>8.3999996185302734</v>
      </c>
      <c r="D348" s="25">
        <v>8.3999996185302734</v>
      </c>
      <c r="E348" s="22">
        <v>73</v>
      </c>
      <c r="F348" s="22">
        <v>48</v>
      </c>
      <c r="G348" s="1" t="s">
        <v>436</v>
      </c>
      <c r="H348" s="8" t="s">
        <v>853</v>
      </c>
      <c r="J348" s="12">
        <v>0</v>
      </c>
    </row>
    <row r="349" spans="1:10" x14ac:dyDescent="0.25">
      <c r="A349" t="s">
        <v>835</v>
      </c>
      <c r="B349" t="s">
        <v>852</v>
      </c>
      <c r="C349" s="25">
        <v>8.3999996185302734</v>
      </c>
      <c r="D349" s="25">
        <v>8.3999996185302734</v>
      </c>
      <c r="E349" s="22">
        <v>73</v>
      </c>
      <c r="F349" s="22">
        <v>48</v>
      </c>
      <c r="G349" s="1" t="s">
        <v>436</v>
      </c>
      <c r="H349" s="8" t="s">
        <v>853</v>
      </c>
      <c r="J349" s="12">
        <v>0</v>
      </c>
    </row>
    <row r="350" spans="1:10" x14ac:dyDescent="0.25">
      <c r="A350" t="s">
        <v>836</v>
      </c>
      <c r="B350" t="s">
        <v>852</v>
      </c>
      <c r="C350" s="25">
        <v>8.3999996185302734</v>
      </c>
      <c r="D350" s="25">
        <v>8.3999996185302734</v>
      </c>
      <c r="E350" s="22">
        <v>73</v>
      </c>
      <c r="F350" s="22">
        <v>48</v>
      </c>
      <c r="G350" s="1" t="s">
        <v>436</v>
      </c>
      <c r="H350" s="8" t="s">
        <v>853</v>
      </c>
      <c r="J350" s="12">
        <v>0</v>
      </c>
    </row>
    <row r="351" spans="1:10" x14ac:dyDescent="0.25">
      <c r="A351" t="s">
        <v>837</v>
      </c>
      <c r="B351" t="s">
        <v>852</v>
      </c>
      <c r="C351" s="25">
        <v>8.3999996185302734</v>
      </c>
      <c r="D351" s="25">
        <v>8.3999996185302734</v>
      </c>
      <c r="E351" s="22">
        <v>73</v>
      </c>
      <c r="F351" s="22">
        <v>48</v>
      </c>
      <c r="G351" s="1" t="s">
        <v>436</v>
      </c>
      <c r="H351" s="8" t="s">
        <v>853</v>
      </c>
      <c r="J351" s="12">
        <v>0</v>
      </c>
    </row>
    <row r="352" spans="1:10" x14ac:dyDescent="0.25">
      <c r="A352" t="s">
        <v>838</v>
      </c>
      <c r="B352" t="s">
        <v>852</v>
      </c>
      <c r="C352" s="25">
        <v>8.3999996185302734</v>
      </c>
      <c r="D352" s="25">
        <v>8.3999996185302734</v>
      </c>
      <c r="E352" s="22">
        <v>73</v>
      </c>
      <c r="F352" s="22">
        <v>48</v>
      </c>
      <c r="G352" s="1" t="s">
        <v>436</v>
      </c>
      <c r="H352" s="8" t="s">
        <v>853</v>
      </c>
      <c r="J352" s="12">
        <v>0</v>
      </c>
    </row>
    <row r="353" spans="1:10" x14ac:dyDescent="0.25">
      <c r="A353" t="s">
        <v>839</v>
      </c>
      <c r="B353" t="s">
        <v>852</v>
      </c>
      <c r="C353" s="25">
        <v>8.3999996185302734</v>
      </c>
      <c r="D353" s="25">
        <v>8.3999996185302734</v>
      </c>
      <c r="E353" s="22">
        <v>73</v>
      </c>
      <c r="F353" s="22">
        <v>48</v>
      </c>
      <c r="G353" s="1" t="s">
        <v>436</v>
      </c>
      <c r="H353" s="8" t="s">
        <v>853</v>
      </c>
      <c r="J353" s="12">
        <v>0</v>
      </c>
    </row>
    <row r="354" spans="1:10" x14ac:dyDescent="0.25">
      <c r="A354" t="s">
        <v>840</v>
      </c>
      <c r="B354" t="s">
        <v>852</v>
      </c>
      <c r="C354" s="25">
        <v>8.3999996185302734</v>
      </c>
      <c r="D354" s="25">
        <v>8.3999996185302734</v>
      </c>
      <c r="E354" s="22">
        <v>73</v>
      </c>
      <c r="F354" s="22">
        <v>48</v>
      </c>
      <c r="G354" s="1" t="s">
        <v>436</v>
      </c>
      <c r="H354" s="8" t="s">
        <v>853</v>
      </c>
      <c r="J354" s="12">
        <v>0</v>
      </c>
    </row>
    <row r="355" spans="1:10" x14ac:dyDescent="0.25">
      <c r="A355" t="s">
        <v>841</v>
      </c>
      <c r="B355" t="s">
        <v>852</v>
      </c>
      <c r="C355" s="25">
        <v>8.3999996185302734</v>
      </c>
      <c r="D355" s="25">
        <v>8.3999996185302734</v>
      </c>
      <c r="E355" s="22">
        <v>73</v>
      </c>
      <c r="F355" s="22">
        <v>48</v>
      </c>
      <c r="G355" s="1" t="s">
        <v>436</v>
      </c>
      <c r="H355" s="8" t="s">
        <v>853</v>
      </c>
      <c r="J355" s="12">
        <v>0</v>
      </c>
    </row>
    <row r="356" spans="1:10" x14ac:dyDescent="0.25">
      <c r="A356" t="s">
        <v>842</v>
      </c>
      <c r="B356" t="s">
        <v>852</v>
      </c>
      <c r="C356" s="25">
        <v>8.3999996185302734</v>
      </c>
      <c r="D356" s="25">
        <v>8.3999996185302734</v>
      </c>
      <c r="E356" s="22">
        <v>73</v>
      </c>
      <c r="F356" s="22">
        <v>48</v>
      </c>
      <c r="G356" s="1" t="s">
        <v>436</v>
      </c>
      <c r="H356" s="8" t="s">
        <v>853</v>
      </c>
      <c r="J356" s="12">
        <v>0</v>
      </c>
    </row>
    <row r="357" spans="1:10" x14ac:dyDescent="0.25">
      <c r="A357" t="s">
        <v>843</v>
      </c>
      <c r="B357" t="s">
        <v>852</v>
      </c>
      <c r="C357" s="25">
        <v>8.3999996185302734</v>
      </c>
      <c r="D357" s="25">
        <v>8.3999996185302734</v>
      </c>
      <c r="E357" s="22">
        <v>73</v>
      </c>
      <c r="F357" s="22">
        <v>48</v>
      </c>
      <c r="G357" s="1" t="s">
        <v>436</v>
      </c>
      <c r="H357" s="8" t="s">
        <v>853</v>
      </c>
      <c r="J357" s="12">
        <v>0</v>
      </c>
    </row>
    <row r="358" spans="1:10" x14ac:dyDescent="0.25">
      <c r="A358" t="s">
        <v>844</v>
      </c>
      <c r="B358" t="s">
        <v>852</v>
      </c>
      <c r="C358" s="25">
        <v>8.3999996185302734</v>
      </c>
      <c r="D358" s="25">
        <v>8.3999996185302734</v>
      </c>
      <c r="E358" s="22">
        <v>73</v>
      </c>
      <c r="F358" s="22">
        <v>48</v>
      </c>
      <c r="G358" s="1" t="s">
        <v>436</v>
      </c>
      <c r="H358" s="8" t="s">
        <v>853</v>
      </c>
      <c r="J358" s="12">
        <v>0</v>
      </c>
    </row>
    <row r="359" spans="1:10" x14ac:dyDescent="0.25">
      <c r="A359" t="s">
        <v>845</v>
      </c>
      <c r="B359" t="s">
        <v>852</v>
      </c>
      <c r="C359" s="25">
        <v>8.3999996185302734</v>
      </c>
      <c r="D359" s="25">
        <v>8.3999996185302734</v>
      </c>
      <c r="E359" s="22">
        <v>73</v>
      </c>
      <c r="F359" s="22">
        <v>48</v>
      </c>
      <c r="G359" s="1" t="s">
        <v>436</v>
      </c>
      <c r="H359" s="8" t="s">
        <v>853</v>
      </c>
      <c r="J359" s="12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alls"/>
  <dimension ref="A1:K46"/>
  <sheetViews>
    <sheetView workbookViewId="0"/>
  </sheetViews>
  <sheetFormatPr defaultRowHeight="13.2" x14ac:dyDescent="0.25"/>
  <cols>
    <col min="1" max="1" width="6.6640625" style="1" customWidth="1"/>
    <col min="2" max="2" width="7.5546875" style="1" customWidth="1"/>
    <col min="3" max="3" width="11.44140625" style="1" customWidth="1"/>
    <col min="4" max="4" width="14.33203125" style="1" customWidth="1"/>
    <col min="5" max="5" width="11.44140625" style="1" customWidth="1"/>
    <col min="6" max="6" width="10.109375" style="24" customWidth="1"/>
    <col min="7" max="7" width="18.44140625" style="24" bestFit="1" customWidth="1"/>
    <col min="8" max="8" width="22.5546875" style="1" bestFit="1" customWidth="1"/>
    <col min="9" max="9" width="19" style="1" bestFit="1" customWidth="1"/>
    <col min="10" max="10" width="19.5546875" style="1" bestFit="1" customWidth="1"/>
    <col min="11" max="11" width="17.44140625" style="1" customWidth="1"/>
    <col min="12" max="256" width="11.44140625" customWidth="1"/>
  </cols>
  <sheetData>
    <row r="1" spans="1:11" s="15" customFormat="1" x14ac:dyDescent="0.25">
      <c r="A1" s="17" t="s">
        <v>61</v>
      </c>
      <c r="B1" s="17" t="s">
        <v>8</v>
      </c>
      <c r="C1" s="17" t="s">
        <v>27</v>
      </c>
      <c r="D1" s="17" t="s">
        <v>36</v>
      </c>
      <c r="E1" s="17" t="s">
        <v>42</v>
      </c>
      <c r="F1" s="28" t="s">
        <v>53</v>
      </c>
      <c r="G1" s="28" t="s">
        <v>87</v>
      </c>
      <c r="H1" s="17" t="s">
        <v>85</v>
      </c>
      <c r="I1" s="17" t="s">
        <v>86</v>
      </c>
      <c r="J1" s="17" t="s">
        <v>54</v>
      </c>
      <c r="K1" s="17" t="s">
        <v>55</v>
      </c>
    </row>
    <row r="2" spans="1:11" x14ac:dyDescent="0.25">
      <c r="A2" s="1">
        <v>1</v>
      </c>
      <c r="B2" s="1" t="s">
        <v>854</v>
      </c>
      <c r="C2" s="1" t="s">
        <v>899</v>
      </c>
      <c r="D2" s="1" t="s">
        <v>902</v>
      </c>
      <c r="E2" s="1" t="b">
        <v>1</v>
      </c>
      <c r="F2" s="24">
        <v>10</v>
      </c>
      <c r="G2" s="24">
        <v>10</v>
      </c>
      <c r="H2" s="1">
        <v>36</v>
      </c>
      <c r="I2" s="1">
        <v>110</v>
      </c>
      <c r="J2" s="1">
        <v>0</v>
      </c>
      <c r="K2" s="1">
        <v>-2720</v>
      </c>
    </row>
    <row r="3" spans="1:11" x14ac:dyDescent="0.25">
      <c r="A3" s="1">
        <v>1</v>
      </c>
      <c r="B3" s="1" t="s">
        <v>855</v>
      </c>
      <c r="C3" s="1" t="s">
        <v>899</v>
      </c>
      <c r="D3" s="1" t="s">
        <v>902</v>
      </c>
      <c r="E3" s="1" t="b">
        <v>1</v>
      </c>
      <c r="F3" s="24">
        <v>2.6035888671874998</v>
      </c>
      <c r="G3" s="24">
        <v>0</v>
      </c>
      <c r="H3" s="1">
        <v>36</v>
      </c>
      <c r="I3" s="1">
        <v>110</v>
      </c>
      <c r="J3" s="1">
        <v>0</v>
      </c>
      <c r="K3" s="1">
        <v>-2720</v>
      </c>
    </row>
    <row r="4" spans="1:11" x14ac:dyDescent="0.25">
      <c r="A4" s="1">
        <v>1</v>
      </c>
      <c r="B4" s="1" t="s">
        <v>856</v>
      </c>
      <c r="C4" s="1" t="s">
        <v>899</v>
      </c>
      <c r="D4" s="1" t="s">
        <v>902</v>
      </c>
      <c r="E4" s="1" t="b">
        <v>1</v>
      </c>
      <c r="F4" s="24">
        <v>20</v>
      </c>
      <c r="G4" s="24">
        <v>20</v>
      </c>
      <c r="H4" s="1">
        <v>36</v>
      </c>
      <c r="I4" s="1">
        <v>110</v>
      </c>
      <c r="J4" s="1">
        <v>0</v>
      </c>
      <c r="K4" s="1">
        <v>-2720</v>
      </c>
    </row>
    <row r="5" spans="1:11" x14ac:dyDescent="0.25">
      <c r="A5" s="1">
        <v>1</v>
      </c>
      <c r="B5" s="1" t="s">
        <v>857</v>
      </c>
      <c r="C5" s="1" t="s">
        <v>899</v>
      </c>
      <c r="D5" s="1" t="s">
        <v>902</v>
      </c>
      <c r="E5" s="1" t="b">
        <v>1</v>
      </c>
      <c r="F5" s="24">
        <v>9.5</v>
      </c>
      <c r="G5" s="24">
        <v>9.5</v>
      </c>
      <c r="H5" s="1">
        <v>36</v>
      </c>
      <c r="I5" s="1">
        <v>110</v>
      </c>
      <c r="J5" s="1">
        <v>0</v>
      </c>
      <c r="K5" s="1">
        <v>-2720</v>
      </c>
    </row>
    <row r="6" spans="1:11" x14ac:dyDescent="0.25">
      <c r="A6" s="1">
        <v>1</v>
      </c>
      <c r="B6" s="1" t="s">
        <v>858</v>
      </c>
      <c r="C6" s="1" t="s">
        <v>899</v>
      </c>
      <c r="D6" s="1" t="s">
        <v>902</v>
      </c>
      <c r="E6" s="1" t="b">
        <v>1</v>
      </c>
      <c r="F6" s="24">
        <v>0.39641113281250001</v>
      </c>
      <c r="G6" s="24">
        <v>0</v>
      </c>
      <c r="H6" s="1">
        <v>36</v>
      </c>
      <c r="I6" s="1">
        <v>110</v>
      </c>
      <c r="J6" s="1">
        <v>0</v>
      </c>
      <c r="K6" s="1">
        <v>-2720</v>
      </c>
    </row>
    <row r="7" spans="1:11" x14ac:dyDescent="0.25">
      <c r="A7" s="1">
        <v>1</v>
      </c>
      <c r="B7" s="1" t="s">
        <v>859</v>
      </c>
      <c r="C7" s="1" t="s">
        <v>899</v>
      </c>
      <c r="D7" s="1" t="s">
        <v>902</v>
      </c>
      <c r="E7" s="1" t="b">
        <v>1</v>
      </c>
      <c r="F7" s="24">
        <v>5.5</v>
      </c>
      <c r="G7" s="24">
        <v>5.5</v>
      </c>
      <c r="H7" s="1">
        <v>36</v>
      </c>
      <c r="I7" s="1">
        <v>110</v>
      </c>
      <c r="J7" s="1">
        <v>0</v>
      </c>
      <c r="K7" s="1">
        <v>-2720</v>
      </c>
    </row>
    <row r="8" spans="1:11" x14ac:dyDescent="0.25">
      <c r="A8" s="1">
        <v>1</v>
      </c>
      <c r="B8" s="1" t="s">
        <v>860</v>
      </c>
      <c r="C8" s="1" t="s">
        <v>899</v>
      </c>
      <c r="D8" s="1" t="s">
        <v>903</v>
      </c>
      <c r="E8" s="1" t="b">
        <v>1</v>
      </c>
      <c r="F8" s="24">
        <v>6.5</v>
      </c>
      <c r="G8" s="24">
        <v>0</v>
      </c>
      <c r="J8" s="1">
        <v>0</v>
      </c>
      <c r="K8" s="1">
        <v>-2720</v>
      </c>
    </row>
    <row r="9" spans="1:11" x14ac:dyDescent="0.25">
      <c r="A9" s="1">
        <v>1</v>
      </c>
      <c r="B9" s="1" t="s">
        <v>861</v>
      </c>
      <c r="C9" s="1" t="s">
        <v>899</v>
      </c>
      <c r="D9" s="1" t="s">
        <v>902</v>
      </c>
      <c r="E9" s="1" t="b">
        <v>1</v>
      </c>
      <c r="F9" s="24">
        <v>5.5</v>
      </c>
      <c r="G9" s="24">
        <v>5.5</v>
      </c>
      <c r="H9" s="1">
        <v>36</v>
      </c>
      <c r="I9" s="1">
        <v>110</v>
      </c>
      <c r="J9" s="1">
        <v>0</v>
      </c>
      <c r="K9" s="1">
        <v>-2720</v>
      </c>
    </row>
    <row r="10" spans="1:11" x14ac:dyDescent="0.25">
      <c r="A10" s="1">
        <v>1</v>
      </c>
      <c r="B10" s="1" t="s">
        <v>862</v>
      </c>
      <c r="C10" s="1" t="s">
        <v>899</v>
      </c>
      <c r="D10" s="1" t="s">
        <v>902</v>
      </c>
      <c r="E10" s="1" t="b">
        <v>1</v>
      </c>
      <c r="F10" s="24">
        <v>2.8</v>
      </c>
      <c r="G10" s="24">
        <v>2.8</v>
      </c>
      <c r="H10" s="1">
        <v>36</v>
      </c>
      <c r="I10" s="1">
        <v>110</v>
      </c>
      <c r="J10" s="1">
        <v>0</v>
      </c>
      <c r="K10" s="1">
        <v>-2720</v>
      </c>
    </row>
    <row r="11" spans="1:11" x14ac:dyDescent="0.25">
      <c r="A11" s="1">
        <v>1</v>
      </c>
      <c r="B11" s="1" t="s">
        <v>863</v>
      </c>
      <c r="C11" s="1" t="s">
        <v>899</v>
      </c>
      <c r="D11" s="1" t="s">
        <v>902</v>
      </c>
      <c r="E11" s="1" t="b">
        <v>1</v>
      </c>
      <c r="F11" s="24">
        <v>5.27</v>
      </c>
      <c r="G11" s="24">
        <v>5.27</v>
      </c>
      <c r="H11" s="1">
        <v>36</v>
      </c>
      <c r="I11" s="1">
        <v>110</v>
      </c>
      <c r="J11" s="1">
        <v>0</v>
      </c>
      <c r="K11" s="1">
        <v>-2720</v>
      </c>
    </row>
    <row r="12" spans="1:11" x14ac:dyDescent="0.25">
      <c r="A12" s="1">
        <v>1</v>
      </c>
      <c r="B12" s="1" t="s">
        <v>864</v>
      </c>
      <c r="C12" s="1" t="s">
        <v>899</v>
      </c>
      <c r="D12" s="1" t="s">
        <v>903</v>
      </c>
      <c r="E12" s="1" t="b">
        <v>1</v>
      </c>
      <c r="F12" s="24">
        <v>2.2999999999999998</v>
      </c>
      <c r="G12" s="24">
        <v>0</v>
      </c>
      <c r="J12" s="1">
        <v>0</v>
      </c>
      <c r="K12" s="1">
        <v>-2720</v>
      </c>
    </row>
    <row r="13" spans="1:11" x14ac:dyDescent="0.25">
      <c r="A13" s="1">
        <v>1</v>
      </c>
      <c r="B13" s="1" t="s">
        <v>865</v>
      </c>
      <c r="C13" s="1" t="s">
        <v>899</v>
      </c>
      <c r="D13" s="1" t="s">
        <v>902</v>
      </c>
      <c r="E13" s="1" t="b">
        <v>1</v>
      </c>
      <c r="F13" s="24">
        <v>11.27</v>
      </c>
      <c r="G13" s="24">
        <v>11.27</v>
      </c>
      <c r="H13" s="1">
        <v>36</v>
      </c>
      <c r="I13" s="1">
        <v>110</v>
      </c>
      <c r="J13" s="1">
        <v>0</v>
      </c>
      <c r="K13" s="1">
        <v>-2720</v>
      </c>
    </row>
    <row r="14" spans="1:11" x14ac:dyDescent="0.25">
      <c r="A14" s="1">
        <v>1</v>
      </c>
      <c r="B14" s="1" t="s">
        <v>866</v>
      </c>
      <c r="C14" s="1" t="s">
        <v>899</v>
      </c>
      <c r="D14" s="1" t="s">
        <v>904</v>
      </c>
      <c r="E14" s="1" t="b">
        <v>1</v>
      </c>
      <c r="F14" s="24">
        <v>6</v>
      </c>
      <c r="G14" s="24">
        <v>6</v>
      </c>
      <c r="H14" s="1">
        <v>36</v>
      </c>
      <c r="I14" s="1">
        <v>110</v>
      </c>
      <c r="J14" s="1">
        <v>0</v>
      </c>
      <c r="K14" s="1">
        <v>-2720</v>
      </c>
    </row>
    <row r="15" spans="1:11" x14ac:dyDescent="0.25">
      <c r="A15" s="1">
        <v>1</v>
      </c>
      <c r="B15" s="1" t="s">
        <v>867</v>
      </c>
      <c r="C15" s="1" t="s">
        <v>899</v>
      </c>
      <c r="D15" s="1" t="s">
        <v>903</v>
      </c>
      <c r="E15" s="1" t="b">
        <v>1</v>
      </c>
      <c r="F15" s="24">
        <v>4.9000000000000004</v>
      </c>
      <c r="G15" s="24">
        <v>0</v>
      </c>
      <c r="J15" s="1">
        <v>0</v>
      </c>
      <c r="K15" s="1">
        <v>-2720</v>
      </c>
    </row>
    <row r="16" spans="1:11" x14ac:dyDescent="0.25">
      <c r="A16" s="1">
        <v>2</v>
      </c>
      <c r="B16" s="1" t="s">
        <v>868</v>
      </c>
      <c r="C16" s="1" t="s">
        <v>900</v>
      </c>
      <c r="D16" s="1" t="s">
        <v>905</v>
      </c>
      <c r="E16" s="1" t="b">
        <v>1</v>
      </c>
      <c r="F16" s="24">
        <v>6.0400000000000009</v>
      </c>
      <c r="G16" s="24">
        <v>0</v>
      </c>
      <c r="H16" s="1">
        <v>36</v>
      </c>
      <c r="I16" s="1">
        <v>110</v>
      </c>
      <c r="J16" s="1">
        <v>0</v>
      </c>
      <c r="K16" s="1">
        <v>-2720</v>
      </c>
    </row>
    <row r="17" spans="1:11" x14ac:dyDescent="0.25">
      <c r="A17" s="1">
        <v>3</v>
      </c>
      <c r="B17" s="1" t="s">
        <v>869</v>
      </c>
      <c r="C17" s="1" t="s">
        <v>899</v>
      </c>
      <c r="D17" s="1" t="s">
        <v>902</v>
      </c>
      <c r="E17" s="1" t="b">
        <v>1</v>
      </c>
      <c r="F17" s="24">
        <v>8.0999999999999961</v>
      </c>
      <c r="G17" s="24">
        <v>8.0999999999999961</v>
      </c>
      <c r="H17" s="1">
        <v>36</v>
      </c>
      <c r="I17" s="1">
        <v>110</v>
      </c>
      <c r="J17" s="1">
        <v>0</v>
      </c>
      <c r="K17" s="1">
        <v>-2720</v>
      </c>
    </row>
    <row r="18" spans="1:11" x14ac:dyDescent="0.25">
      <c r="A18" s="1">
        <v>3</v>
      </c>
      <c r="B18" s="1" t="s">
        <v>870</v>
      </c>
      <c r="C18" s="1" t="s">
        <v>899</v>
      </c>
      <c r="D18" s="1" t="s">
        <v>902</v>
      </c>
      <c r="E18" s="1" t="b">
        <v>1</v>
      </c>
      <c r="F18" s="24">
        <v>8.0999999999999961</v>
      </c>
      <c r="G18" s="24">
        <v>8.0999999999999961</v>
      </c>
      <c r="H18" s="1">
        <v>36</v>
      </c>
      <c r="I18" s="1">
        <v>110</v>
      </c>
      <c r="J18" s="1">
        <v>0</v>
      </c>
      <c r="K18" s="1">
        <v>-2720</v>
      </c>
    </row>
    <row r="19" spans="1:11" x14ac:dyDescent="0.25">
      <c r="A19" s="1">
        <v>3</v>
      </c>
      <c r="B19" s="1" t="s">
        <v>871</v>
      </c>
      <c r="C19" s="1" t="s">
        <v>899</v>
      </c>
      <c r="D19" s="1" t="s">
        <v>902</v>
      </c>
      <c r="E19" s="1" t="b">
        <v>1</v>
      </c>
      <c r="F19" s="24">
        <v>5.9</v>
      </c>
      <c r="G19" s="24">
        <v>0</v>
      </c>
      <c r="H19" s="1">
        <v>36</v>
      </c>
      <c r="I19" s="1">
        <v>110</v>
      </c>
      <c r="J19" s="1">
        <v>0</v>
      </c>
      <c r="K19" s="1">
        <v>-2720</v>
      </c>
    </row>
    <row r="20" spans="1:11" x14ac:dyDescent="0.25">
      <c r="A20" s="1">
        <v>3</v>
      </c>
      <c r="B20" s="1" t="s">
        <v>872</v>
      </c>
      <c r="C20" s="1" t="s">
        <v>899</v>
      </c>
      <c r="D20" s="1" t="s">
        <v>902</v>
      </c>
      <c r="E20" s="1" t="b">
        <v>1</v>
      </c>
      <c r="F20" s="24">
        <v>5.9</v>
      </c>
      <c r="G20" s="24">
        <v>0</v>
      </c>
      <c r="H20" s="1">
        <v>36</v>
      </c>
      <c r="I20" s="1">
        <v>110</v>
      </c>
      <c r="J20" s="1">
        <v>0</v>
      </c>
      <c r="K20" s="1">
        <v>-2720</v>
      </c>
    </row>
    <row r="21" spans="1:11" x14ac:dyDescent="0.25">
      <c r="A21" s="1">
        <v>4</v>
      </c>
      <c r="B21" s="1" t="s">
        <v>873</v>
      </c>
      <c r="C21" s="1" t="s">
        <v>899</v>
      </c>
      <c r="D21" s="1" t="s">
        <v>902</v>
      </c>
      <c r="E21" s="1" t="b">
        <v>1</v>
      </c>
      <c r="F21" s="24">
        <v>8.1</v>
      </c>
      <c r="G21" s="24">
        <v>8.1</v>
      </c>
      <c r="H21" s="1">
        <v>36</v>
      </c>
      <c r="I21" s="1">
        <v>110</v>
      </c>
      <c r="J21" s="1">
        <v>0</v>
      </c>
      <c r="K21" s="1">
        <v>-2720</v>
      </c>
    </row>
    <row r="22" spans="1:11" x14ac:dyDescent="0.25">
      <c r="A22" s="1">
        <v>4</v>
      </c>
      <c r="B22" s="1" t="s">
        <v>874</v>
      </c>
      <c r="C22" s="1" t="s">
        <v>899</v>
      </c>
      <c r="D22" s="1" t="s">
        <v>903</v>
      </c>
      <c r="E22" s="1" t="b">
        <v>1</v>
      </c>
      <c r="F22" s="24">
        <v>5.9</v>
      </c>
      <c r="G22" s="24">
        <v>0</v>
      </c>
      <c r="J22" s="1">
        <v>0</v>
      </c>
      <c r="K22" s="1">
        <v>-2720</v>
      </c>
    </row>
    <row r="23" spans="1:11" x14ac:dyDescent="0.25">
      <c r="A23" s="1">
        <v>4</v>
      </c>
      <c r="B23" s="1" t="s">
        <v>875</v>
      </c>
      <c r="C23" s="1" t="s">
        <v>899</v>
      </c>
      <c r="D23" s="1" t="s">
        <v>902</v>
      </c>
      <c r="E23" s="1" t="b">
        <v>1</v>
      </c>
      <c r="F23" s="24">
        <v>8.1</v>
      </c>
      <c r="G23" s="24">
        <v>8.1</v>
      </c>
      <c r="H23" s="1">
        <v>36</v>
      </c>
      <c r="I23" s="1">
        <v>110</v>
      </c>
      <c r="J23" s="1">
        <v>0</v>
      </c>
      <c r="K23" s="1">
        <v>-2720</v>
      </c>
    </row>
    <row r="24" spans="1:11" x14ac:dyDescent="0.25">
      <c r="A24" s="1">
        <v>4</v>
      </c>
      <c r="B24" s="1" t="s">
        <v>876</v>
      </c>
      <c r="C24" s="1" t="s">
        <v>899</v>
      </c>
      <c r="D24" s="1" t="s">
        <v>903</v>
      </c>
      <c r="E24" s="1" t="b">
        <v>1</v>
      </c>
      <c r="F24" s="24">
        <v>5.9</v>
      </c>
      <c r="G24" s="24">
        <v>0</v>
      </c>
      <c r="J24" s="1">
        <v>0</v>
      </c>
      <c r="K24" s="1">
        <v>-2720</v>
      </c>
    </row>
    <row r="25" spans="1:11" x14ac:dyDescent="0.25">
      <c r="A25" s="1">
        <v>5</v>
      </c>
      <c r="B25" s="1" t="s">
        <v>877</v>
      </c>
      <c r="C25" s="1" t="s">
        <v>900</v>
      </c>
      <c r="D25" s="1" t="s">
        <v>905</v>
      </c>
      <c r="E25" s="1" t="b">
        <v>1</v>
      </c>
      <c r="F25" s="24">
        <v>6.74</v>
      </c>
      <c r="G25" s="24">
        <v>6.74</v>
      </c>
      <c r="H25" s="1">
        <v>36</v>
      </c>
      <c r="I25" s="1">
        <v>110</v>
      </c>
      <c r="J25" s="1">
        <v>0</v>
      </c>
      <c r="K25" s="1">
        <v>-2720</v>
      </c>
    </row>
    <row r="26" spans="1:11" x14ac:dyDescent="0.25">
      <c r="A26" s="1">
        <v>6</v>
      </c>
      <c r="B26" s="1" t="s">
        <v>878</v>
      </c>
      <c r="C26" s="1" t="s">
        <v>899</v>
      </c>
      <c r="D26" s="1" t="s">
        <v>902</v>
      </c>
      <c r="E26" s="1" t="b">
        <v>1</v>
      </c>
      <c r="F26" s="24">
        <v>7.2207421875</v>
      </c>
      <c r="G26" s="24">
        <v>7.2207421875</v>
      </c>
      <c r="H26" s="1">
        <v>36</v>
      </c>
      <c r="I26" s="1">
        <v>110</v>
      </c>
      <c r="J26" s="1">
        <v>0</v>
      </c>
      <c r="K26" s="1">
        <v>-2720</v>
      </c>
    </row>
    <row r="27" spans="1:11" x14ac:dyDescent="0.25">
      <c r="A27" s="1">
        <v>6</v>
      </c>
      <c r="B27" s="1" t="s">
        <v>879</v>
      </c>
      <c r="C27" s="1" t="s">
        <v>899</v>
      </c>
      <c r="D27" s="1" t="s">
        <v>903</v>
      </c>
      <c r="E27" s="1" t="b">
        <v>1</v>
      </c>
      <c r="F27" s="24">
        <v>3.6</v>
      </c>
      <c r="G27" s="24">
        <v>0</v>
      </c>
      <c r="J27" s="1">
        <v>0</v>
      </c>
      <c r="K27" s="1">
        <v>-2720</v>
      </c>
    </row>
    <row r="28" spans="1:11" x14ac:dyDescent="0.25">
      <c r="A28" s="1">
        <v>7</v>
      </c>
      <c r="B28" s="1" t="s">
        <v>880</v>
      </c>
      <c r="C28" s="1" t="s">
        <v>899</v>
      </c>
      <c r="D28" s="1" t="s">
        <v>902</v>
      </c>
      <c r="E28" s="1" t="b">
        <v>1</v>
      </c>
      <c r="F28" s="24">
        <v>7</v>
      </c>
      <c r="G28" s="24">
        <v>7</v>
      </c>
      <c r="H28" s="1">
        <v>36</v>
      </c>
      <c r="I28" s="1">
        <v>110</v>
      </c>
      <c r="J28" s="1">
        <v>0</v>
      </c>
      <c r="K28" s="1">
        <v>-2720</v>
      </c>
    </row>
    <row r="29" spans="1:11" x14ac:dyDescent="0.25">
      <c r="A29" s="1">
        <v>7</v>
      </c>
      <c r="B29" s="1" t="s">
        <v>881</v>
      </c>
      <c r="C29" s="1" t="s">
        <v>899</v>
      </c>
      <c r="D29" s="1" t="s">
        <v>903</v>
      </c>
      <c r="E29" s="1" t="b">
        <v>1</v>
      </c>
      <c r="F29" s="24">
        <v>7.5</v>
      </c>
      <c r="G29" s="24">
        <v>0</v>
      </c>
      <c r="J29" s="1">
        <v>0</v>
      </c>
      <c r="K29" s="1">
        <v>-2720</v>
      </c>
    </row>
    <row r="30" spans="1:11" x14ac:dyDescent="0.25">
      <c r="A30" s="1">
        <v>7</v>
      </c>
      <c r="B30" s="1" t="s">
        <v>882</v>
      </c>
      <c r="C30" s="1" t="s">
        <v>899</v>
      </c>
      <c r="D30" s="1" t="s">
        <v>902</v>
      </c>
      <c r="E30" s="1" t="b">
        <v>1</v>
      </c>
      <c r="F30" s="24">
        <v>15.3</v>
      </c>
      <c r="G30" s="24">
        <v>15.3</v>
      </c>
      <c r="H30" s="1">
        <v>36</v>
      </c>
      <c r="I30" s="1">
        <v>110</v>
      </c>
      <c r="J30" s="1">
        <v>0</v>
      </c>
      <c r="K30" s="1">
        <v>-2720</v>
      </c>
    </row>
    <row r="31" spans="1:11" x14ac:dyDescent="0.25">
      <c r="A31" s="1">
        <v>7</v>
      </c>
      <c r="B31" s="1" t="s">
        <v>883</v>
      </c>
      <c r="C31" s="1" t="s">
        <v>899</v>
      </c>
      <c r="D31" s="1" t="s">
        <v>902</v>
      </c>
      <c r="E31" s="1" t="b">
        <v>1</v>
      </c>
      <c r="F31" s="24">
        <v>4</v>
      </c>
      <c r="G31" s="24">
        <v>4</v>
      </c>
      <c r="H31" s="1">
        <v>36</v>
      </c>
      <c r="I31" s="1">
        <v>110</v>
      </c>
      <c r="J31" s="1">
        <v>0</v>
      </c>
      <c r="K31" s="1">
        <v>-2720</v>
      </c>
    </row>
    <row r="32" spans="1:11" x14ac:dyDescent="0.25">
      <c r="A32" s="1">
        <v>7</v>
      </c>
      <c r="B32" s="1" t="s">
        <v>884</v>
      </c>
      <c r="C32" s="1" t="s">
        <v>899</v>
      </c>
      <c r="D32" s="1" t="s">
        <v>902</v>
      </c>
      <c r="E32" s="1" t="b">
        <v>1</v>
      </c>
      <c r="F32" s="24">
        <v>8.3000000000000007</v>
      </c>
      <c r="G32" s="24">
        <v>8.3000000000000007</v>
      </c>
      <c r="H32" s="1">
        <v>36</v>
      </c>
      <c r="I32" s="1">
        <v>110</v>
      </c>
      <c r="J32" s="1">
        <v>0</v>
      </c>
      <c r="K32" s="1">
        <v>-2720</v>
      </c>
    </row>
    <row r="33" spans="1:11" x14ac:dyDescent="0.25">
      <c r="A33" s="1">
        <v>7</v>
      </c>
      <c r="B33" s="1" t="s">
        <v>885</v>
      </c>
      <c r="C33" s="1" t="s">
        <v>899</v>
      </c>
      <c r="D33" s="1" t="s">
        <v>902</v>
      </c>
      <c r="E33" s="1" t="b">
        <v>1</v>
      </c>
      <c r="F33" s="24">
        <v>8.4</v>
      </c>
      <c r="G33" s="24">
        <v>8.4</v>
      </c>
      <c r="H33" s="1">
        <v>36</v>
      </c>
      <c r="I33" s="1">
        <v>110</v>
      </c>
      <c r="J33" s="1">
        <v>0</v>
      </c>
      <c r="K33" s="1">
        <v>-2720</v>
      </c>
    </row>
    <row r="34" spans="1:11" x14ac:dyDescent="0.25">
      <c r="A34" s="1">
        <v>7</v>
      </c>
      <c r="B34" s="1" t="s">
        <v>886</v>
      </c>
      <c r="C34" s="1" t="s">
        <v>899</v>
      </c>
      <c r="D34" s="1" t="s">
        <v>902</v>
      </c>
      <c r="E34" s="1" t="b">
        <v>1</v>
      </c>
      <c r="F34" s="24">
        <v>5</v>
      </c>
      <c r="G34" s="24">
        <v>5</v>
      </c>
      <c r="H34" s="1">
        <v>36</v>
      </c>
      <c r="I34" s="1">
        <v>110</v>
      </c>
      <c r="J34" s="1">
        <v>0</v>
      </c>
      <c r="K34" s="1">
        <v>-2720</v>
      </c>
    </row>
    <row r="35" spans="1:11" x14ac:dyDescent="0.25">
      <c r="A35" s="1">
        <v>7</v>
      </c>
      <c r="B35" s="1" t="s">
        <v>887</v>
      </c>
      <c r="C35" s="1" t="s">
        <v>899</v>
      </c>
      <c r="D35" s="1" t="s">
        <v>902</v>
      </c>
      <c r="E35" s="1" t="b">
        <v>1</v>
      </c>
      <c r="F35" s="24">
        <v>7.8</v>
      </c>
      <c r="G35" s="24">
        <v>7.8</v>
      </c>
      <c r="H35" s="1">
        <v>36</v>
      </c>
      <c r="I35" s="1">
        <v>110</v>
      </c>
      <c r="J35" s="1">
        <v>0</v>
      </c>
      <c r="K35" s="1">
        <v>-2720</v>
      </c>
    </row>
    <row r="36" spans="1:11" x14ac:dyDescent="0.25">
      <c r="A36" s="1">
        <v>7</v>
      </c>
      <c r="B36" s="1" t="s">
        <v>888</v>
      </c>
      <c r="C36" s="1" t="s">
        <v>899</v>
      </c>
      <c r="D36" s="1" t="s">
        <v>902</v>
      </c>
      <c r="E36" s="1" t="b">
        <v>1</v>
      </c>
      <c r="F36" s="24">
        <v>7.8</v>
      </c>
      <c r="G36" s="24">
        <v>7.8</v>
      </c>
      <c r="H36" s="1">
        <v>36</v>
      </c>
      <c r="I36" s="1">
        <v>110</v>
      </c>
      <c r="J36" s="1">
        <v>0</v>
      </c>
      <c r="K36" s="1">
        <v>-2720</v>
      </c>
    </row>
    <row r="37" spans="1:11" x14ac:dyDescent="0.25">
      <c r="A37" s="1">
        <v>7</v>
      </c>
      <c r="B37" s="1" t="s">
        <v>889</v>
      </c>
      <c r="C37" s="1" t="s">
        <v>899</v>
      </c>
      <c r="D37" s="1" t="s">
        <v>903</v>
      </c>
      <c r="E37" s="1" t="b">
        <v>1</v>
      </c>
      <c r="F37" s="24">
        <v>6.9</v>
      </c>
      <c r="G37" s="24">
        <v>0</v>
      </c>
      <c r="J37" s="1">
        <v>0</v>
      </c>
      <c r="K37" s="1">
        <v>-2720</v>
      </c>
    </row>
    <row r="38" spans="1:11" x14ac:dyDescent="0.25">
      <c r="A38" s="1">
        <v>8</v>
      </c>
      <c r="B38" s="1" t="s">
        <v>890</v>
      </c>
      <c r="C38" s="1" t="s">
        <v>899</v>
      </c>
      <c r="D38" s="1" t="s">
        <v>903</v>
      </c>
      <c r="E38" s="1" t="b">
        <v>1</v>
      </c>
      <c r="F38" s="24">
        <v>5.2</v>
      </c>
      <c r="G38" s="24">
        <v>0</v>
      </c>
      <c r="J38" s="1">
        <v>0</v>
      </c>
      <c r="K38" s="1">
        <v>-2720</v>
      </c>
    </row>
    <row r="39" spans="1:11" x14ac:dyDescent="0.25">
      <c r="A39" s="1">
        <v>8</v>
      </c>
      <c r="B39" s="1" t="s">
        <v>891</v>
      </c>
      <c r="C39" s="1" t="s">
        <v>899</v>
      </c>
      <c r="D39" s="1" t="s">
        <v>902</v>
      </c>
      <c r="E39" s="1" t="b">
        <v>1</v>
      </c>
      <c r="F39" s="24">
        <v>8.6</v>
      </c>
      <c r="G39" s="24">
        <v>8.6</v>
      </c>
      <c r="H39" s="1">
        <v>36</v>
      </c>
      <c r="I39" s="1">
        <v>110</v>
      </c>
      <c r="J39" s="1">
        <v>0</v>
      </c>
      <c r="K39" s="1">
        <v>-2720</v>
      </c>
    </row>
    <row r="40" spans="1:11" x14ac:dyDescent="0.25">
      <c r="A40" s="1">
        <v>8</v>
      </c>
      <c r="B40" s="1" t="s">
        <v>892</v>
      </c>
      <c r="C40" s="1" t="s">
        <v>899</v>
      </c>
      <c r="D40" s="1" t="s">
        <v>903</v>
      </c>
      <c r="E40" s="1" t="b">
        <v>1</v>
      </c>
      <c r="F40" s="24">
        <v>5.2</v>
      </c>
      <c r="G40" s="24">
        <v>0</v>
      </c>
      <c r="J40" s="1">
        <v>0</v>
      </c>
      <c r="K40" s="1">
        <v>-2720</v>
      </c>
    </row>
    <row r="41" spans="1:11" x14ac:dyDescent="0.25">
      <c r="A41" s="1">
        <v>8</v>
      </c>
      <c r="B41" s="1" t="s">
        <v>893</v>
      </c>
      <c r="C41" s="1" t="s">
        <v>899</v>
      </c>
      <c r="D41" s="1" t="s">
        <v>904</v>
      </c>
      <c r="E41" s="1" t="b">
        <v>1</v>
      </c>
      <c r="F41" s="24">
        <v>8.6</v>
      </c>
      <c r="G41" s="24">
        <v>8.6</v>
      </c>
      <c r="H41" s="1">
        <v>36</v>
      </c>
      <c r="I41" s="1">
        <v>110</v>
      </c>
      <c r="J41" s="1">
        <v>0</v>
      </c>
      <c r="K41" s="1">
        <v>-2720</v>
      </c>
    </row>
    <row r="42" spans="1:11" x14ac:dyDescent="0.25">
      <c r="A42" s="1">
        <v>9</v>
      </c>
      <c r="B42" s="1" t="s">
        <v>894</v>
      </c>
      <c r="C42" s="1" t="s">
        <v>901</v>
      </c>
      <c r="D42" s="1" t="s">
        <v>906</v>
      </c>
      <c r="E42" s="1" t="b">
        <v>1</v>
      </c>
      <c r="F42" s="24">
        <v>0.9</v>
      </c>
      <c r="G42" s="24">
        <v>0.9</v>
      </c>
      <c r="J42" s="1">
        <v>0</v>
      </c>
      <c r="K42" s="1">
        <v>-2720</v>
      </c>
    </row>
    <row r="43" spans="1:11" x14ac:dyDescent="0.25">
      <c r="A43" s="1">
        <v>9</v>
      </c>
      <c r="B43" s="1" t="s">
        <v>895</v>
      </c>
      <c r="C43" s="1" t="s">
        <v>901</v>
      </c>
      <c r="D43" s="1" t="s">
        <v>906</v>
      </c>
      <c r="E43" s="1" t="b">
        <v>1</v>
      </c>
      <c r="F43" s="24">
        <v>0.8</v>
      </c>
      <c r="G43" s="24">
        <v>0.8</v>
      </c>
      <c r="J43" s="1">
        <v>0</v>
      </c>
      <c r="K43" s="1">
        <v>-2720</v>
      </c>
    </row>
    <row r="44" spans="1:11" x14ac:dyDescent="0.25">
      <c r="A44" s="1">
        <v>9</v>
      </c>
      <c r="B44" s="1" t="s">
        <v>896</v>
      </c>
      <c r="C44" s="1" t="s">
        <v>901</v>
      </c>
      <c r="D44" s="1" t="s">
        <v>906</v>
      </c>
      <c r="E44" s="1" t="b">
        <v>1</v>
      </c>
      <c r="F44" s="24">
        <v>0.9</v>
      </c>
      <c r="G44" s="24">
        <v>0.9</v>
      </c>
      <c r="J44" s="1">
        <v>0</v>
      </c>
      <c r="K44" s="1">
        <v>-2720</v>
      </c>
    </row>
    <row r="45" spans="1:11" x14ac:dyDescent="0.25">
      <c r="A45" s="1">
        <v>9</v>
      </c>
      <c r="B45" s="1" t="s">
        <v>897</v>
      </c>
      <c r="C45" s="1" t="s">
        <v>901</v>
      </c>
      <c r="D45" s="1" t="s">
        <v>906</v>
      </c>
      <c r="E45" s="1" t="b">
        <v>1</v>
      </c>
      <c r="F45" s="24">
        <v>0.8</v>
      </c>
      <c r="G45" s="24">
        <v>0.8</v>
      </c>
      <c r="J45" s="1">
        <v>0</v>
      </c>
      <c r="K45" s="1">
        <v>-2720</v>
      </c>
    </row>
    <row r="46" spans="1:11" x14ac:dyDescent="0.25">
      <c r="A46" s="1">
        <v>10</v>
      </c>
      <c r="B46" s="1" t="s">
        <v>898</v>
      </c>
      <c r="C46" s="1" t="s">
        <v>900</v>
      </c>
      <c r="D46" s="1" t="s">
        <v>907</v>
      </c>
      <c r="E46" s="1" t="b">
        <v>1</v>
      </c>
      <c r="F46" s="24">
        <v>7.27</v>
      </c>
      <c r="G46" s="24">
        <v>0</v>
      </c>
      <c r="J46" s="1">
        <v>0</v>
      </c>
      <c r="K46" s="1">
        <v>-2720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urfaces"/>
  <dimension ref="A1:G57"/>
  <sheetViews>
    <sheetView workbookViewId="0"/>
  </sheetViews>
  <sheetFormatPr defaultRowHeight="13.2" x14ac:dyDescent="0.25"/>
  <cols>
    <col min="1" max="1" width="6.88671875" customWidth="1"/>
    <col min="2" max="2" width="13.88671875" style="1" customWidth="1"/>
    <col min="3" max="3" width="11.6640625" style="1" customWidth="1"/>
    <col min="4" max="4" width="13.88671875" customWidth="1"/>
    <col min="5" max="5" width="9.6640625" style="25" customWidth="1"/>
    <col min="6" max="6" width="21.88671875" style="25" customWidth="1"/>
    <col min="7" max="7" width="11.44140625" style="1" customWidth="1"/>
    <col min="8" max="256" width="11.44140625" customWidth="1"/>
  </cols>
  <sheetData>
    <row r="1" spans="1:7" s="15" customFormat="1" x14ac:dyDescent="0.25">
      <c r="A1" s="19" t="s">
        <v>61</v>
      </c>
      <c r="B1" s="17" t="s">
        <v>8</v>
      </c>
      <c r="C1" s="17" t="s">
        <v>27</v>
      </c>
      <c r="D1" s="29" t="s">
        <v>29</v>
      </c>
      <c r="E1" s="26" t="s">
        <v>56</v>
      </c>
      <c r="F1" s="26" t="s">
        <v>57</v>
      </c>
      <c r="G1" s="17" t="s">
        <v>43</v>
      </c>
    </row>
    <row r="2" spans="1:7" x14ac:dyDescent="0.25">
      <c r="A2">
        <v>1</v>
      </c>
      <c r="B2" s="1" t="s">
        <v>908</v>
      </c>
      <c r="C2" s="1" t="s">
        <v>13</v>
      </c>
      <c r="E2" s="25">
        <v>0</v>
      </c>
      <c r="F2" s="25">
        <v>0</v>
      </c>
      <c r="G2" s="1" t="b">
        <v>1</v>
      </c>
    </row>
    <row r="3" spans="1:7" x14ac:dyDescent="0.25">
      <c r="A3">
        <v>1</v>
      </c>
      <c r="B3" s="1" t="s">
        <v>909</v>
      </c>
      <c r="C3" s="1" t="s">
        <v>13</v>
      </c>
      <c r="E3" s="25">
        <v>0</v>
      </c>
      <c r="F3" s="25">
        <v>0</v>
      </c>
      <c r="G3" s="1" t="b">
        <v>1</v>
      </c>
    </row>
    <row r="4" spans="1:7" x14ac:dyDescent="0.25">
      <c r="A4">
        <v>1</v>
      </c>
      <c r="B4" s="1" t="s">
        <v>910</v>
      </c>
      <c r="C4" s="1" t="s">
        <v>13</v>
      </c>
      <c r="E4" s="25">
        <v>0</v>
      </c>
      <c r="F4" s="25">
        <v>0</v>
      </c>
      <c r="G4" s="1" t="b">
        <v>1</v>
      </c>
    </row>
    <row r="5" spans="1:7" x14ac:dyDescent="0.25">
      <c r="A5">
        <v>1</v>
      </c>
      <c r="B5" s="1" t="s">
        <v>911</v>
      </c>
      <c r="C5" s="1" t="s">
        <v>13</v>
      </c>
      <c r="E5" s="25">
        <v>0</v>
      </c>
      <c r="F5" s="25">
        <v>0</v>
      </c>
      <c r="G5" s="1" t="b">
        <v>1</v>
      </c>
    </row>
    <row r="6" spans="1:7" x14ac:dyDescent="0.25">
      <c r="A6">
        <v>1</v>
      </c>
      <c r="B6" s="1" t="s">
        <v>912</v>
      </c>
      <c r="C6" s="1" t="s">
        <v>13</v>
      </c>
      <c r="E6" s="25">
        <v>0</v>
      </c>
      <c r="F6" s="25">
        <v>0</v>
      </c>
      <c r="G6" s="1" t="b">
        <v>1</v>
      </c>
    </row>
    <row r="7" spans="1:7" x14ac:dyDescent="0.25">
      <c r="A7">
        <v>1</v>
      </c>
      <c r="B7" s="1" t="s">
        <v>913</v>
      </c>
      <c r="C7" s="1" t="s">
        <v>13</v>
      </c>
      <c r="E7" s="25">
        <v>0</v>
      </c>
      <c r="F7" s="25">
        <v>0</v>
      </c>
      <c r="G7" s="1" t="b">
        <v>1</v>
      </c>
    </row>
    <row r="8" spans="1:7" x14ac:dyDescent="0.25">
      <c r="A8">
        <v>1</v>
      </c>
      <c r="B8" s="1" t="s">
        <v>914</v>
      </c>
      <c r="C8" s="1" t="s">
        <v>13</v>
      </c>
      <c r="E8" s="25">
        <v>0</v>
      </c>
      <c r="F8" s="25">
        <v>0</v>
      </c>
      <c r="G8" s="1" t="b">
        <v>1</v>
      </c>
    </row>
    <row r="9" spans="1:7" x14ac:dyDescent="0.25">
      <c r="A9">
        <v>1</v>
      </c>
      <c r="B9" s="1" t="s">
        <v>915</v>
      </c>
      <c r="C9" s="1" t="s">
        <v>13</v>
      </c>
      <c r="E9" s="25">
        <v>0</v>
      </c>
      <c r="F9" s="25">
        <v>0</v>
      </c>
      <c r="G9" s="1" t="b">
        <v>1</v>
      </c>
    </row>
    <row r="10" spans="1:7" x14ac:dyDescent="0.25">
      <c r="A10">
        <v>1</v>
      </c>
      <c r="B10" s="1" t="s">
        <v>916</v>
      </c>
      <c r="C10" s="1" t="s">
        <v>13</v>
      </c>
      <c r="E10" s="25">
        <v>0</v>
      </c>
      <c r="F10" s="25">
        <v>0</v>
      </c>
      <c r="G10" s="1" t="b">
        <v>1</v>
      </c>
    </row>
    <row r="11" spans="1:7" x14ac:dyDescent="0.25">
      <c r="A11">
        <v>1</v>
      </c>
      <c r="B11" s="1" t="s">
        <v>917</v>
      </c>
      <c r="C11" s="1" t="s">
        <v>13</v>
      </c>
      <c r="D11">
        <v>26</v>
      </c>
      <c r="E11" s="25">
        <v>103.96848934539221</v>
      </c>
      <c r="F11" s="25">
        <v>7.5042883300781247</v>
      </c>
      <c r="G11" s="1" t="b">
        <v>0</v>
      </c>
    </row>
    <row r="12" spans="1:7" x14ac:dyDescent="0.25">
      <c r="A12">
        <v>1</v>
      </c>
      <c r="B12" s="1" t="s">
        <v>918</v>
      </c>
      <c r="C12" s="1" t="s">
        <v>13</v>
      </c>
      <c r="D12">
        <v>26</v>
      </c>
      <c r="E12" s="25">
        <v>22.630323469265342</v>
      </c>
      <c r="F12" s="25">
        <v>2.4649999999999999</v>
      </c>
      <c r="G12" s="1" t="b">
        <v>0</v>
      </c>
    </row>
    <row r="13" spans="1:7" x14ac:dyDescent="0.25">
      <c r="A13">
        <v>1</v>
      </c>
      <c r="B13" s="1" t="s">
        <v>919</v>
      </c>
      <c r="C13" s="1" t="s">
        <v>13</v>
      </c>
      <c r="D13">
        <v>26</v>
      </c>
      <c r="E13" s="25">
        <v>22.630323469265342</v>
      </c>
      <c r="F13" s="25">
        <v>2.4649999999999999</v>
      </c>
      <c r="G13" s="1" t="b">
        <v>0</v>
      </c>
    </row>
    <row r="14" spans="1:7" x14ac:dyDescent="0.25">
      <c r="A14">
        <v>1</v>
      </c>
      <c r="B14" s="1" t="s">
        <v>920</v>
      </c>
      <c r="C14" s="1" t="s">
        <v>13</v>
      </c>
      <c r="D14">
        <v>26</v>
      </c>
      <c r="E14" s="25">
        <v>24.708087062577544</v>
      </c>
      <c r="F14" s="25">
        <v>3.4475000000000007</v>
      </c>
      <c r="G14" s="1" t="b">
        <v>0</v>
      </c>
    </row>
    <row r="15" spans="1:7" x14ac:dyDescent="0.25">
      <c r="A15">
        <v>1</v>
      </c>
      <c r="B15" s="1" t="s">
        <v>921</v>
      </c>
      <c r="C15" s="1" t="s">
        <v>13</v>
      </c>
      <c r="D15">
        <v>26</v>
      </c>
      <c r="E15" s="25">
        <v>0</v>
      </c>
      <c r="F15" s="25">
        <v>0</v>
      </c>
      <c r="G15" s="1" t="b">
        <v>0</v>
      </c>
    </row>
    <row r="16" spans="1:7" x14ac:dyDescent="0.25">
      <c r="A16">
        <v>1</v>
      </c>
      <c r="B16" s="1" t="s">
        <v>922</v>
      </c>
      <c r="C16" s="1" t="s">
        <v>13</v>
      </c>
      <c r="D16">
        <v>0</v>
      </c>
      <c r="E16" s="25">
        <v>0</v>
      </c>
      <c r="F16" s="25">
        <v>0</v>
      </c>
      <c r="G16" s="1" t="b">
        <v>0</v>
      </c>
    </row>
    <row r="17" spans="1:7" x14ac:dyDescent="0.25">
      <c r="A17">
        <v>1</v>
      </c>
      <c r="B17" s="1" t="s">
        <v>923</v>
      </c>
      <c r="C17" s="1" t="s">
        <v>13</v>
      </c>
      <c r="D17">
        <v>26</v>
      </c>
      <c r="E17" s="25">
        <v>86.609117569128159</v>
      </c>
      <c r="F17" s="25">
        <v>0.98000000000000032</v>
      </c>
      <c r="G17" s="1" t="b">
        <v>0</v>
      </c>
    </row>
    <row r="18" spans="1:7" x14ac:dyDescent="0.25">
      <c r="A18">
        <v>1</v>
      </c>
      <c r="B18" s="1" t="s">
        <v>924</v>
      </c>
      <c r="C18" s="1" t="s">
        <v>13</v>
      </c>
      <c r="D18">
        <v>26</v>
      </c>
      <c r="E18" s="25">
        <v>40.640845531192603</v>
      </c>
      <c r="F18" s="25">
        <v>3.2757500000000093</v>
      </c>
      <c r="G18" s="1" t="b">
        <v>0</v>
      </c>
    </row>
    <row r="19" spans="1:7" x14ac:dyDescent="0.25">
      <c r="A19">
        <v>1</v>
      </c>
      <c r="B19" s="1" t="s">
        <v>925</v>
      </c>
      <c r="C19" s="1" t="s">
        <v>13</v>
      </c>
      <c r="D19">
        <v>26</v>
      </c>
      <c r="E19" s="25">
        <v>57.329874638320412</v>
      </c>
      <c r="F19" s="25">
        <v>4.4757500000000094</v>
      </c>
      <c r="G19" s="1" t="b">
        <v>0</v>
      </c>
    </row>
    <row r="20" spans="1:7" x14ac:dyDescent="0.25">
      <c r="A20">
        <v>1</v>
      </c>
      <c r="B20" s="1" t="s">
        <v>926</v>
      </c>
      <c r="C20" s="1" t="s">
        <v>13</v>
      </c>
      <c r="D20">
        <v>26</v>
      </c>
      <c r="E20" s="25">
        <v>0</v>
      </c>
      <c r="F20" s="25">
        <v>3.550711669921875</v>
      </c>
      <c r="G20" s="1" t="b">
        <v>0</v>
      </c>
    </row>
    <row r="21" spans="1:7" x14ac:dyDescent="0.25">
      <c r="A21">
        <v>2</v>
      </c>
      <c r="B21" s="1" t="s">
        <v>927</v>
      </c>
      <c r="C21" s="1" t="s">
        <v>13</v>
      </c>
      <c r="E21" s="25">
        <v>0</v>
      </c>
      <c r="F21" s="25">
        <v>0</v>
      </c>
      <c r="G21" s="1" t="b">
        <v>1</v>
      </c>
    </row>
    <row r="22" spans="1:7" x14ac:dyDescent="0.25">
      <c r="A22">
        <v>2</v>
      </c>
      <c r="B22" s="1" t="s">
        <v>928</v>
      </c>
      <c r="C22" s="1" t="s">
        <v>13</v>
      </c>
      <c r="E22" s="25">
        <v>0</v>
      </c>
      <c r="F22" s="25">
        <v>0</v>
      </c>
      <c r="G22" s="1" t="b">
        <v>1</v>
      </c>
    </row>
    <row r="23" spans="1:7" x14ac:dyDescent="0.25">
      <c r="A23">
        <v>2</v>
      </c>
      <c r="B23" s="1" t="s">
        <v>929</v>
      </c>
      <c r="C23" s="1" t="s">
        <v>13</v>
      </c>
      <c r="E23" s="25">
        <v>0</v>
      </c>
      <c r="F23" s="25">
        <v>0</v>
      </c>
      <c r="G23" s="1" t="b">
        <v>1</v>
      </c>
    </row>
    <row r="24" spans="1:7" x14ac:dyDescent="0.25">
      <c r="A24">
        <v>2</v>
      </c>
      <c r="B24" s="1" t="s">
        <v>930</v>
      </c>
      <c r="C24" s="1" t="s">
        <v>13</v>
      </c>
      <c r="D24">
        <v>12.5</v>
      </c>
      <c r="E24" s="25">
        <v>29.821315900402361</v>
      </c>
      <c r="F24" s="25">
        <v>3.119759765625</v>
      </c>
      <c r="G24" s="1" t="b">
        <v>0</v>
      </c>
    </row>
    <row r="25" spans="1:7" x14ac:dyDescent="0.25">
      <c r="A25">
        <v>3</v>
      </c>
      <c r="B25" s="1" t="s">
        <v>931</v>
      </c>
      <c r="C25" s="1" t="s">
        <v>13</v>
      </c>
      <c r="E25" s="25">
        <v>0</v>
      </c>
      <c r="F25" s="25">
        <v>0</v>
      </c>
      <c r="G25" s="1" t="b">
        <v>1</v>
      </c>
    </row>
    <row r="26" spans="1:7" x14ac:dyDescent="0.25">
      <c r="A26">
        <v>3</v>
      </c>
      <c r="B26" s="1" t="s">
        <v>932</v>
      </c>
      <c r="C26" s="1" t="s">
        <v>13</v>
      </c>
      <c r="E26" s="25">
        <v>0</v>
      </c>
      <c r="F26" s="25">
        <v>0</v>
      </c>
      <c r="G26" s="1" t="b">
        <v>1</v>
      </c>
    </row>
    <row r="27" spans="1:7" x14ac:dyDescent="0.25">
      <c r="A27">
        <v>3</v>
      </c>
      <c r="B27" s="1" t="s">
        <v>933</v>
      </c>
      <c r="C27" s="1" t="s">
        <v>13</v>
      </c>
      <c r="E27" s="25">
        <v>0</v>
      </c>
      <c r="F27" s="25">
        <v>0</v>
      </c>
      <c r="G27" s="1" t="b">
        <v>1</v>
      </c>
    </row>
    <row r="28" spans="1:7" x14ac:dyDescent="0.25">
      <c r="A28">
        <v>3</v>
      </c>
      <c r="B28" s="1" t="s">
        <v>934</v>
      </c>
      <c r="C28" s="1" t="s">
        <v>13</v>
      </c>
      <c r="D28">
        <v>12.5</v>
      </c>
      <c r="E28" s="25">
        <v>53.784917296654911</v>
      </c>
      <c r="F28" s="25">
        <v>7.79</v>
      </c>
      <c r="G28" s="1" t="b">
        <v>0</v>
      </c>
    </row>
    <row r="29" spans="1:7" x14ac:dyDescent="0.25">
      <c r="A29">
        <v>4</v>
      </c>
      <c r="B29" s="1" t="s">
        <v>935</v>
      </c>
      <c r="C29" s="1" t="s">
        <v>13</v>
      </c>
      <c r="E29" s="25">
        <v>0</v>
      </c>
      <c r="F29" s="25">
        <v>0</v>
      </c>
      <c r="G29" s="1" t="b">
        <v>1</v>
      </c>
    </row>
    <row r="30" spans="1:7" x14ac:dyDescent="0.25">
      <c r="A30">
        <v>4</v>
      </c>
      <c r="B30" s="1" t="s">
        <v>936</v>
      </c>
      <c r="C30" s="1" t="s">
        <v>13</v>
      </c>
      <c r="E30" s="25">
        <v>0</v>
      </c>
      <c r="F30" s="25">
        <v>0</v>
      </c>
      <c r="G30" s="1" t="b">
        <v>1</v>
      </c>
    </row>
    <row r="31" spans="1:7" x14ac:dyDescent="0.25">
      <c r="A31">
        <v>4</v>
      </c>
      <c r="B31" s="1" t="s">
        <v>937</v>
      </c>
      <c r="C31" s="1" t="s">
        <v>13</v>
      </c>
      <c r="D31">
        <v>16.999999999999996</v>
      </c>
      <c r="E31" s="25">
        <v>7.7297534639530152</v>
      </c>
      <c r="F31" s="25">
        <v>0.26400000000000129</v>
      </c>
      <c r="G31" s="1" t="b">
        <v>0</v>
      </c>
    </row>
    <row r="32" spans="1:7" x14ac:dyDescent="0.25">
      <c r="A32">
        <v>4</v>
      </c>
      <c r="B32" s="1" t="s">
        <v>938</v>
      </c>
      <c r="C32" s="1" t="s">
        <v>13</v>
      </c>
      <c r="D32">
        <v>4.9999999999999956</v>
      </c>
      <c r="E32" s="25">
        <v>14.503189012826253</v>
      </c>
      <c r="F32" s="25">
        <v>0.51599999999999824</v>
      </c>
      <c r="G32" s="1" t="b">
        <v>0</v>
      </c>
    </row>
    <row r="33" spans="1:7" x14ac:dyDescent="0.25">
      <c r="A33">
        <v>4</v>
      </c>
      <c r="B33" s="1" t="s">
        <v>939</v>
      </c>
      <c r="C33" s="1" t="s">
        <v>13</v>
      </c>
      <c r="D33">
        <v>39.999999999999972</v>
      </c>
      <c r="E33" s="25">
        <v>7.6757948612737961</v>
      </c>
      <c r="F33" s="25">
        <v>3.0450000000000008</v>
      </c>
      <c r="G33" s="1" t="b">
        <v>0</v>
      </c>
    </row>
    <row r="34" spans="1:7" x14ac:dyDescent="0.25">
      <c r="A34">
        <v>4</v>
      </c>
      <c r="B34" s="1" t="s">
        <v>940</v>
      </c>
      <c r="C34" s="1" t="s">
        <v>13</v>
      </c>
      <c r="D34">
        <v>16.999999999999996</v>
      </c>
      <c r="E34" s="25">
        <v>7.7297534639529974</v>
      </c>
      <c r="F34" s="25">
        <v>0.2639999999999999</v>
      </c>
      <c r="G34" s="1" t="b">
        <v>0</v>
      </c>
    </row>
    <row r="35" spans="1:7" x14ac:dyDescent="0.25">
      <c r="A35">
        <v>4</v>
      </c>
      <c r="B35" s="1" t="s">
        <v>941</v>
      </c>
      <c r="C35" s="1" t="s">
        <v>13</v>
      </c>
      <c r="D35">
        <v>4.9999999999999956</v>
      </c>
      <c r="E35" s="25">
        <v>14.503189012826299</v>
      </c>
      <c r="F35" s="25">
        <v>0.51600000000000157</v>
      </c>
      <c r="G35" s="1" t="b">
        <v>0</v>
      </c>
    </row>
    <row r="36" spans="1:7" x14ac:dyDescent="0.25">
      <c r="A36">
        <v>4</v>
      </c>
      <c r="B36" s="1" t="s">
        <v>942</v>
      </c>
      <c r="C36" s="1" t="s">
        <v>13</v>
      </c>
      <c r="D36">
        <v>39.999999999999972</v>
      </c>
      <c r="E36" s="25">
        <v>7.6757948612737961</v>
      </c>
      <c r="F36" s="25">
        <v>3.0450000000000008</v>
      </c>
      <c r="G36" s="1" t="b">
        <v>0</v>
      </c>
    </row>
    <row r="37" spans="1:7" x14ac:dyDescent="0.25">
      <c r="A37">
        <v>5</v>
      </c>
      <c r="B37" s="1" t="s">
        <v>943</v>
      </c>
      <c r="C37" s="1" t="s">
        <v>13</v>
      </c>
      <c r="E37" s="25">
        <v>0</v>
      </c>
      <c r="F37" s="25">
        <v>0</v>
      </c>
      <c r="G37" s="1" t="b">
        <v>1</v>
      </c>
    </row>
    <row r="38" spans="1:7" x14ac:dyDescent="0.25">
      <c r="A38">
        <v>5</v>
      </c>
      <c r="B38" s="1" t="s">
        <v>944</v>
      </c>
      <c r="C38" s="1" t="s">
        <v>13</v>
      </c>
      <c r="E38" s="25">
        <v>0</v>
      </c>
      <c r="F38" s="25">
        <v>0</v>
      </c>
      <c r="G38" s="1" t="b">
        <v>1</v>
      </c>
    </row>
    <row r="39" spans="1:7" x14ac:dyDescent="0.25">
      <c r="A39">
        <v>5</v>
      </c>
      <c r="B39" s="1" t="s">
        <v>945</v>
      </c>
      <c r="C39" s="1" t="s">
        <v>13</v>
      </c>
      <c r="D39">
        <v>22.5</v>
      </c>
      <c r="E39" s="25">
        <v>39.274600987609553</v>
      </c>
      <c r="F39" s="25">
        <v>3.0037500000000001</v>
      </c>
      <c r="G39" s="1" t="b">
        <v>0</v>
      </c>
    </row>
    <row r="40" spans="1:7" x14ac:dyDescent="0.25">
      <c r="A40">
        <v>5</v>
      </c>
      <c r="B40" s="1" t="s">
        <v>946</v>
      </c>
      <c r="C40" s="1" t="s">
        <v>13</v>
      </c>
      <c r="D40">
        <v>22.5</v>
      </c>
      <c r="E40" s="25">
        <v>61.193043043530452</v>
      </c>
      <c r="F40" s="25">
        <v>6.0312499999999849</v>
      </c>
      <c r="G40" s="1" t="b">
        <v>0</v>
      </c>
    </row>
    <row r="41" spans="1:7" x14ac:dyDescent="0.25">
      <c r="A41">
        <v>5</v>
      </c>
      <c r="B41" s="1" t="s">
        <v>947</v>
      </c>
      <c r="C41" s="1" t="s">
        <v>13</v>
      </c>
      <c r="D41">
        <v>22.5</v>
      </c>
      <c r="E41" s="25">
        <v>43.306511933698687</v>
      </c>
      <c r="F41" s="25">
        <v>1.75</v>
      </c>
      <c r="G41" s="1" t="b">
        <v>0</v>
      </c>
    </row>
    <row r="42" spans="1:7" x14ac:dyDescent="0.25">
      <c r="A42">
        <v>5</v>
      </c>
      <c r="B42" s="1" t="s">
        <v>948</v>
      </c>
      <c r="C42" s="1" t="s">
        <v>13</v>
      </c>
      <c r="D42">
        <v>22.5</v>
      </c>
      <c r="E42" s="25">
        <v>38.295036046344897</v>
      </c>
      <c r="F42" s="25">
        <v>3.23875</v>
      </c>
      <c r="G42" s="1" t="b">
        <v>0</v>
      </c>
    </row>
    <row r="43" spans="1:7" x14ac:dyDescent="0.25">
      <c r="A43">
        <v>5</v>
      </c>
      <c r="B43" s="1" t="s">
        <v>949</v>
      </c>
      <c r="C43" s="1" t="s">
        <v>13</v>
      </c>
      <c r="D43">
        <v>22.5</v>
      </c>
      <c r="E43" s="25">
        <v>21.918442055920977</v>
      </c>
      <c r="F43" s="25">
        <v>3.0274999999999999</v>
      </c>
      <c r="G43" s="1" t="b">
        <v>0</v>
      </c>
    </row>
    <row r="44" spans="1:7" x14ac:dyDescent="0.25">
      <c r="A44">
        <v>5</v>
      </c>
      <c r="B44" s="1" t="s">
        <v>950</v>
      </c>
      <c r="C44" s="1" t="s">
        <v>13</v>
      </c>
      <c r="D44">
        <v>22.5</v>
      </c>
      <c r="E44" s="25">
        <v>39.074358430555428</v>
      </c>
      <c r="F44" s="25">
        <v>3.23875</v>
      </c>
      <c r="G44" s="1" t="b">
        <v>0</v>
      </c>
    </row>
    <row r="45" spans="1:7" x14ac:dyDescent="0.25">
      <c r="A45">
        <v>5</v>
      </c>
      <c r="B45" s="1" t="s">
        <v>951</v>
      </c>
      <c r="C45" s="1" t="s">
        <v>13</v>
      </c>
      <c r="D45">
        <v>22.5</v>
      </c>
      <c r="E45" s="25">
        <v>40.741242419005708</v>
      </c>
      <c r="F45" s="25">
        <v>2.94</v>
      </c>
      <c r="G45" s="1" t="b">
        <v>0</v>
      </c>
    </row>
    <row r="46" spans="1:7" x14ac:dyDescent="0.25">
      <c r="A46">
        <v>5</v>
      </c>
      <c r="B46" s="1" t="s">
        <v>952</v>
      </c>
      <c r="C46" s="1" t="s">
        <v>13</v>
      </c>
      <c r="D46">
        <v>22.5</v>
      </c>
      <c r="E46" s="25">
        <v>0</v>
      </c>
      <c r="F46" s="25">
        <v>1.4</v>
      </c>
      <c r="G46" s="1" t="b">
        <v>0</v>
      </c>
    </row>
    <row r="47" spans="1:7" x14ac:dyDescent="0.25">
      <c r="A47">
        <v>6</v>
      </c>
      <c r="B47" s="1" t="s">
        <v>953</v>
      </c>
      <c r="C47" s="1" t="s">
        <v>13</v>
      </c>
      <c r="E47" s="25">
        <v>0</v>
      </c>
      <c r="F47" s="25">
        <v>0</v>
      </c>
      <c r="G47" s="1" t="b">
        <v>1</v>
      </c>
    </row>
    <row r="48" spans="1:7" x14ac:dyDescent="0.25">
      <c r="A48">
        <v>6</v>
      </c>
      <c r="B48" s="1" t="s">
        <v>954</v>
      </c>
      <c r="C48" s="1" t="s">
        <v>13</v>
      </c>
      <c r="E48" s="25">
        <v>0</v>
      </c>
      <c r="F48" s="25">
        <v>0</v>
      </c>
      <c r="G48" s="1" t="b">
        <v>1</v>
      </c>
    </row>
    <row r="49" spans="1:7" x14ac:dyDescent="0.25">
      <c r="A49">
        <v>6</v>
      </c>
      <c r="B49" s="1" t="s">
        <v>955</v>
      </c>
      <c r="C49" s="1" t="s">
        <v>13</v>
      </c>
      <c r="D49">
        <v>39.999999999999929</v>
      </c>
      <c r="E49" s="25">
        <v>20.834300337743219</v>
      </c>
      <c r="F49" s="25">
        <v>0.57000000000000373</v>
      </c>
      <c r="G49" s="1" t="b">
        <v>0</v>
      </c>
    </row>
    <row r="50" spans="1:7" x14ac:dyDescent="0.25">
      <c r="A50">
        <v>6</v>
      </c>
      <c r="B50" s="1" t="s">
        <v>956</v>
      </c>
      <c r="C50" s="1" t="s">
        <v>13</v>
      </c>
      <c r="D50">
        <v>15.000000000000009</v>
      </c>
      <c r="E50" s="25">
        <v>12.174847881622414</v>
      </c>
      <c r="F50" s="25">
        <v>3.2549999999999923</v>
      </c>
      <c r="G50" s="1" t="b">
        <v>0</v>
      </c>
    </row>
    <row r="51" spans="1:7" x14ac:dyDescent="0.25">
      <c r="A51">
        <v>6</v>
      </c>
      <c r="B51" s="1" t="s">
        <v>957</v>
      </c>
      <c r="C51" s="1" t="s">
        <v>13</v>
      </c>
      <c r="D51">
        <v>15.000000000000009</v>
      </c>
      <c r="E51" s="25">
        <v>12.1748478816227</v>
      </c>
      <c r="F51" s="25">
        <v>3.2550000000000039</v>
      </c>
      <c r="G51" s="1" t="b">
        <v>0</v>
      </c>
    </row>
    <row r="52" spans="1:7" x14ac:dyDescent="0.25">
      <c r="A52">
        <v>6</v>
      </c>
      <c r="B52" s="1" t="s">
        <v>958</v>
      </c>
      <c r="C52" s="1" t="s">
        <v>13</v>
      </c>
      <c r="D52">
        <v>39.999999999999929</v>
      </c>
      <c r="E52" s="25">
        <v>20.834300337743095</v>
      </c>
      <c r="F52" s="25">
        <v>0.56999999999999995</v>
      </c>
      <c r="G52" s="1" t="b">
        <v>0</v>
      </c>
    </row>
    <row r="53" spans="1:7" x14ac:dyDescent="0.25">
      <c r="A53">
        <v>7</v>
      </c>
      <c r="B53" s="1" t="s">
        <v>959</v>
      </c>
      <c r="C53" s="1" t="s">
        <v>14</v>
      </c>
      <c r="E53" s="25">
        <v>0</v>
      </c>
      <c r="F53" s="25">
        <v>0</v>
      </c>
      <c r="G53" s="1" t="b">
        <v>1</v>
      </c>
    </row>
    <row r="54" spans="1:7" x14ac:dyDescent="0.25">
      <c r="A54">
        <v>7</v>
      </c>
      <c r="B54" s="1" t="s">
        <v>960</v>
      </c>
      <c r="C54" s="1" t="s">
        <v>14</v>
      </c>
      <c r="E54" s="25">
        <v>0</v>
      </c>
      <c r="F54" s="25">
        <v>0</v>
      </c>
      <c r="G54" s="1" t="b">
        <v>1</v>
      </c>
    </row>
    <row r="55" spans="1:7" x14ac:dyDescent="0.25">
      <c r="A55">
        <v>7</v>
      </c>
      <c r="B55" s="1" t="s">
        <v>961</v>
      </c>
      <c r="C55" s="1" t="s">
        <v>14</v>
      </c>
      <c r="D55">
        <v>5</v>
      </c>
      <c r="E55" s="25">
        <v>24.668972889611517</v>
      </c>
      <c r="F55" s="25">
        <v>0</v>
      </c>
      <c r="G55" s="1" t="b">
        <v>0</v>
      </c>
    </row>
    <row r="56" spans="1:7" x14ac:dyDescent="0.25">
      <c r="A56">
        <v>7</v>
      </c>
      <c r="B56" s="1" t="s">
        <v>962</v>
      </c>
      <c r="C56" s="1" t="s">
        <v>14</v>
      </c>
      <c r="D56">
        <v>5</v>
      </c>
      <c r="E56" s="25">
        <v>24.668972889611517</v>
      </c>
      <c r="F56" s="25">
        <v>0</v>
      </c>
      <c r="G56" s="1" t="b">
        <v>0</v>
      </c>
    </row>
    <row r="57" spans="1:7" x14ac:dyDescent="0.25">
      <c r="A57">
        <v>8</v>
      </c>
      <c r="B57" s="1" t="s">
        <v>963</v>
      </c>
      <c r="C57" s="1" t="s">
        <v>14</v>
      </c>
      <c r="E57" s="25">
        <v>0</v>
      </c>
      <c r="F57" s="25">
        <v>0</v>
      </c>
      <c r="G57" s="1" t="b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ttic_Rooms"/>
  <dimension ref="A1:E1"/>
  <sheetViews>
    <sheetView workbookViewId="0">
      <selection activeCell="D1" sqref="D1"/>
    </sheetView>
  </sheetViews>
  <sheetFormatPr defaultRowHeight="13.2" x14ac:dyDescent="0.25"/>
  <cols>
    <col min="1" max="1" width="11.44140625" style="1" customWidth="1"/>
    <col min="2" max="2" width="15.44140625" style="24" customWidth="1"/>
    <col min="3" max="3" width="11.44140625" style="25" customWidth="1"/>
    <col min="4" max="4" width="19.6640625" style="25" customWidth="1"/>
    <col min="5" max="5" width="13.6640625" style="1" customWidth="1"/>
    <col min="6" max="256" width="11.44140625" customWidth="1"/>
  </cols>
  <sheetData>
    <row r="1" spans="1:5" s="15" customFormat="1" x14ac:dyDescent="0.25">
      <c r="A1" s="17" t="s">
        <v>8</v>
      </c>
      <c r="B1" s="28" t="s">
        <v>58</v>
      </c>
      <c r="C1" s="26" t="s">
        <v>56</v>
      </c>
      <c r="D1" s="26" t="s">
        <v>127</v>
      </c>
      <c r="E1" s="17" t="s">
        <v>44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Roof_Data"/>
  <dimension ref="A1:B101"/>
  <sheetViews>
    <sheetView workbookViewId="0"/>
  </sheetViews>
  <sheetFormatPr defaultRowHeight="13.2" x14ac:dyDescent="0.25"/>
  <cols>
    <col min="1" max="1" width="16.88671875" customWidth="1"/>
    <col min="2" max="2" width="12" style="24" customWidth="1"/>
    <col min="3" max="256" width="11.44140625" customWidth="1"/>
  </cols>
  <sheetData>
    <row r="1" spans="1:2" s="15" customFormat="1" x14ac:dyDescent="0.25">
      <c r="A1" s="19" t="s">
        <v>27</v>
      </c>
      <c r="B1" s="28" t="s">
        <v>53</v>
      </c>
    </row>
    <row r="2" spans="1:2" x14ac:dyDescent="0.25">
      <c r="A2" t="s">
        <v>964</v>
      </c>
      <c r="B2" s="24">
        <v>20.5</v>
      </c>
    </row>
    <row r="3" spans="1:2" x14ac:dyDescent="0.25">
      <c r="A3" t="s">
        <v>965</v>
      </c>
      <c r="B3" s="24">
        <v>0.15</v>
      </c>
    </row>
    <row r="4" spans="1:2" x14ac:dyDescent="0.25">
      <c r="A4" t="s">
        <v>965</v>
      </c>
      <c r="B4" s="24">
        <v>5.5</v>
      </c>
    </row>
    <row r="5" spans="1:2" x14ac:dyDescent="0.25">
      <c r="A5" t="s">
        <v>966</v>
      </c>
      <c r="B5" s="24">
        <v>0.15</v>
      </c>
    </row>
    <row r="6" spans="1:2" x14ac:dyDescent="0.25">
      <c r="A6" t="s">
        <v>966</v>
      </c>
      <c r="B6" s="24">
        <v>5.5</v>
      </c>
    </row>
    <row r="7" spans="1:2" x14ac:dyDescent="0.25">
      <c r="A7" t="s">
        <v>967</v>
      </c>
      <c r="B7" s="24">
        <v>7.3707421875000003</v>
      </c>
    </row>
    <row r="8" spans="1:2" x14ac:dyDescent="0.25">
      <c r="A8" t="s">
        <v>968</v>
      </c>
      <c r="B8" s="24">
        <v>10.200000000000001</v>
      </c>
    </row>
    <row r="9" spans="1:2" x14ac:dyDescent="0.25">
      <c r="A9" t="s">
        <v>969</v>
      </c>
      <c r="B9" s="24">
        <v>8.9</v>
      </c>
    </row>
    <row r="10" spans="1:2" x14ac:dyDescent="0.25">
      <c r="A10" t="s">
        <v>970</v>
      </c>
      <c r="B10" s="24">
        <v>8.4</v>
      </c>
    </row>
    <row r="11" spans="1:2" x14ac:dyDescent="0.25">
      <c r="A11" t="s">
        <v>971</v>
      </c>
      <c r="B11" s="24">
        <v>8.4000000000000021</v>
      </c>
    </row>
    <row r="12" spans="1:2" x14ac:dyDescent="0.25">
      <c r="A12" t="s">
        <v>972</v>
      </c>
      <c r="B12" s="24">
        <v>2.8000000000000016</v>
      </c>
    </row>
    <row r="13" spans="1:2" x14ac:dyDescent="0.25">
      <c r="A13" t="s">
        <v>972</v>
      </c>
      <c r="B13" s="24">
        <v>9.8000000000000007</v>
      </c>
    </row>
    <row r="14" spans="1:2" x14ac:dyDescent="0.25">
      <c r="A14" t="s">
        <v>973</v>
      </c>
      <c r="B14" s="24">
        <v>8.3999999999999986</v>
      </c>
    </row>
    <row r="15" spans="1:2" x14ac:dyDescent="0.25">
      <c r="A15" t="s">
        <v>974</v>
      </c>
      <c r="B15" s="24">
        <v>8.3999999999999968</v>
      </c>
    </row>
    <row r="16" spans="1:2" x14ac:dyDescent="0.25">
      <c r="A16" t="s">
        <v>975</v>
      </c>
      <c r="B16" s="24">
        <v>5.07</v>
      </c>
    </row>
    <row r="17" spans="1:2" x14ac:dyDescent="0.25">
      <c r="A17" t="s">
        <v>975</v>
      </c>
      <c r="B17" s="24">
        <v>6</v>
      </c>
    </row>
    <row r="18" spans="1:2" x14ac:dyDescent="0.25">
      <c r="A18" t="s">
        <v>976</v>
      </c>
      <c r="B18" s="24">
        <v>6.8</v>
      </c>
    </row>
    <row r="19" spans="1:2" x14ac:dyDescent="0.25">
      <c r="A19" t="s">
        <v>977</v>
      </c>
      <c r="B19" s="24">
        <v>15.8</v>
      </c>
    </row>
    <row r="20" spans="1:2" x14ac:dyDescent="0.25">
      <c r="A20" t="s">
        <v>978</v>
      </c>
      <c r="B20" s="24">
        <v>4</v>
      </c>
    </row>
    <row r="21" spans="1:2" x14ac:dyDescent="0.25">
      <c r="A21" t="s">
        <v>978</v>
      </c>
      <c r="B21" s="24">
        <v>5</v>
      </c>
    </row>
    <row r="22" spans="1:2" x14ac:dyDescent="0.25">
      <c r="A22" t="s">
        <v>979</v>
      </c>
      <c r="B22" s="24">
        <v>7.6</v>
      </c>
    </row>
    <row r="23" spans="1:2" x14ac:dyDescent="0.25">
      <c r="A23" t="s">
        <v>980</v>
      </c>
      <c r="B23" s="24">
        <v>9</v>
      </c>
    </row>
    <row r="24" spans="1:2" x14ac:dyDescent="0.25">
      <c r="A24" t="s">
        <v>981</v>
      </c>
      <c r="B24" s="24">
        <v>7.6</v>
      </c>
    </row>
    <row r="25" spans="1:2" x14ac:dyDescent="0.25">
      <c r="A25" t="s">
        <v>982</v>
      </c>
      <c r="B25" s="24">
        <v>8.4</v>
      </c>
    </row>
    <row r="26" spans="1:2" x14ac:dyDescent="0.25">
      <c r="A26" t="s">
        <v>983</v>
      </c>
      <c r="B26" s="24">
        <v>11.07</v>
      </c>
    </row>
    <row r="27" spans="1:2" x14ac:dyDescent="0.25">
      <c r="A27" t="s">
        <v>984</v>
      </c>
      <c r="B27" s="24">
        <v>2.4802738497313364</v>
      </c>
    </row>
    <row r="28" spans="1:2" x14ac:dyDescent="0.25">
      <c r="A28" t="s">
        <v>984</v>
      </c>
      <c r="B28" s="24">
        <v>2.4802738497313364</v>
      </c>
    </row>
    <row r="29" spans="1:2" x14ac:dyDescent="0.25">
      <c r="A29" t="s">
        <v>985</v>
      </c>
      <c r="B29" s="24">
        <v>0.92020874570869216</v>
      </c>
    </row>
    <row r="30" spans="1:2" x14ac:dyDescent="0.25">
      <c r="A30" t="s">
        <v>985</v>
      </c>
      <c r="B30" s="24">
        <v>0.92020874570869216</v>
      </c>
    </row>
    <row r="31" spans="1:2" x14ac:dyDescent="0.25">
      <c r="A31" t="s">
        <v>986</v>
      </c>
      <c r="B31" s="24">
        <v>1.7265701205745538</v>
      </c>
    </row>
    <row r="32" spans="1:2" x14ac:dyDescent="0.25">
      <c r="A32" t="s">
        <v>986</v>
      </c>
      <c r="B32" s="24">
        <v>1.7265701205745538</v>
      </c>
    </row>
    <row r="33" spans="1:2" x14ac:dyDescent="0.25">
      <c r="A33" t="s">
        <v>984</v>
      </c>
      <c r="B33" s="24">
        <v>2.1695790481574777</v>
      </c>
    </row>
    <row r="34" spans="1:2" x14ac:dyDescent="0.25">
      <c r="A34" t="s">
        <v>984</v>
      </c>
      <c r="B34" s="24">
        <v>2.7775118705910504</v>
      </c>
    </row>
    <row r="35" spans="1:2" x14ac:dyDescent="0.25">
      <c r="A35" t="s">
        <v>984</v>
      </c>
      <c r="B35" s="24">
        <v>2.896758025832411</v>
      </c>
    </row>
    <row r="36" spans="1:2" x14ac:dyDescent="0.25">
      <c r="A36" t="s">
        <v>987</v>
      </c>
      <c r="B36" s="24">
        <v>4.0053669857106806</v>
      </c>
    </row>
    <row r="37" spans="1:2" x14ac:dyDescent="0.25">
      <c r="A37" t="s">
        <v>988</v>
      </c>
      <c r="B37" s="24">
        <v>4.0053669857106806</v>
      </c>
    </row>
    <row r="38" spans="1:2" x14ac:dyDescent="0.25">
      <c r="A38" t="s">
        <v>989</v>
      </c>
      <c r="B38" s="24">
        <v>4.0459040815423117</v>
      </c>
    </row>
    <row r="39" spans="1:2" x14ac:dyDescent="0.25">
      <c r="A39" t="s">
        <v>990</v>
      </c>
      <c r="B39" s="24">
        <v>6.0432491344556043</v>
      </c>
    </row>
    <row r="40" spans="1:2" x14ac:dyDescent="0.25">
      <c r="A40" t="s">
        <v>990</v>
      </c>
      <c r="B40" s="24">
        <v>6.0432491344556043</v>
      </c>
    </row>
    <row r="41" spans="1:2" x14ac:dyDescent="0.25">
      <c r="A41" t="s">
        <v>991</v>
      </c>
      <c r="B41" s="24">
        <v>0.9137851025325936</v>
      </c>
    </row>
    <row r="42" spans="1:2" x14ac:dyDescent="0.25">
      <c r="A42" t="s">
        <v>991</v>
      </c>
      <c r="B42" s="24">
        <v>0.9137851025325936</v>
      </c>
    </row>
    <row r="43" spans="1:2" x14ac:dyDescent="0.25">
      <c r="A43" t="s">
        <v>991</v>
      </c>
      <c r="B43" s="24">
        <v>0.92020874570869016</v>
      </c>
    </row>
    <row r="44" spans="1:2" x14ac:dyDescent="0.25">
      <c r="A44" t="s">
        <v>991</v>
      </c>
      <c r="B44" s="24">
        <v>0.92020874570869016</v>
      </c>
    </row>
    <row r="45" spans="1:2" x14ac:dyDescent="0.25">
      <c r="A45" t="s">
        <v>992</v>
      </c>
      <c r="B45" s="24">
        <v>1.7265701205745592</v>
      </c>
    </row>
    <row r="46" spans="1:2" x14ac:dyDescent="0.25">
      <c r="A46" t="s">
        <v>992</v>
      </c>
      <c r="B46" s="24">
        <v>1.7265701205745592</v>
      </c>
    </row>
    <row r="47" spans="1:2" x14ac:dyDescent="0.25">
      <c r="A47" t="s">
        <v>993</v>
      </c>
      <c r="B47" s="24">
        <v>0.9137851025325936</v>
      </c>
    </row>
    <row r="48" spans="1:2" x14ac:dyDescent="0.25">
      <c r="A48" t="s">
        <v>993</v>
      </c>
      <c r="B48" s="24">
        <v>0.9137851025325936</v>
      </c>
    </row>
    <row r="49" spans="1:2" x14ac:dyDescent="0.25">
      <c r="A49" t="s">
        <v>986</v>
      </c>
      <c r="B49" s="24">
        <v>0.44104779559315521</v>
      </c>
    </row>
    <row r="50" spans="1:2" x14ac:dyDescent="0.25">
      <c r="A50" t="s">
        <v>986</v>
      </c>
      <c r="B50" s="24">
        <v>2.1695790481574715</v>
      </c>
    </row>
    <row r="51" spans="1:2" x14ac:dyDescent="0.25">
      <c r="A51" t="s">
        <v>986</v>
      </c>
      <c r="B51" s="24">
        <v>5.2332221008303117</v>
      </c>
    </row>
    <row r="52" spans="1:2" x14ac:dyDescent="0.25">
      <c r="A52" t="s">
        <v>994</v>
      </c>
      <c r="B52" s="24">
        <v>1.4493866525740973</v>
      </c>
    </row>
    <row r="53" spans="1:2" x14ac:dyDescent="0.25">
      <c r="A53" t="s">
        <v>994</v>
      </c>
      <c r="B53" s="24">
        <v>1.4493866525740973</v>
      </c>
    </row>
    <row r="54" spans="1:2" x14ac:dyDescent="0.25">
      <c r="A54" t="s">
        <v>995</v>
      </c>
      <c r="B54" s="24">
        <v>1.4493866525741315</v>
      </c>
    </row>
    <row r="55" spans="1:2" x14ac:dyDescent="0.25">
      <c r="A55" t="s">
        <v>995</v>
      </c>
      <c r="B55" s="24">
        <v>1.4493866525741315</v>
      </c>
    </row>
    <row r="56" spans="1:2" x14ac:dyDescent="0.25">
      <c r="A56" t="s">
        <v>995</v>
      </c>
      <c r="B56" s="24">
        <v>2.4802738497313217</v>
      </c>
    </row>
    <row r="57" spans="1:2" x14ac:dyDescent="0.25">
      <c r="A57" t="s">
        <v>995</v>
      </c>
      <c r="B57" s="24">
        <v>2.4802738497313217</v>
      </c>
    </row>
    <row r="58" spans="1:2" x14ac:dyDescent="0.25">
      <c r="A58" t="s">
        <v>996</v>
      </c>
      <c r="B58" s="24">
        <v>1.6132728136890244</v>
      </c>
    </row>
    <row r="59" spans="1:2" x14ac:dyDescent="0.25">
      <c r="A59" t="s">
        <v>996</v>
      </c>
      <c r="B59" s="24">
        <v>2.781504851187973</v>
      </c>
    </row>
    <row r="60" spans="1:2" x14ac:dyDescent="0.25">
      <c r="A60" t="s">
        <v>997</v>
      </c>
      <c r="B60" s="24">
        <v>4.4378080211988191</v>
      </c>
    </row>
    <row r="61" spans="1:2" x14ac:dyDescent="0.25">
      <c r="A61" t="s">
        <v>998</v>
      </c>
      <c r="B61" s="24">
        <v>4.437808021198812</v>
      </c>
    </row>
    <row r="62" spans="1:2" x14ac:dyDescent="0.25">
      <c r="A62" t="s">
        <v>999</v>
      </c>
      <c r="B62" s="24">
        <v>4.1130903611110972</v>
      </c>
    </row>
    <row r="63" spans="1:2" x14ac:dyDescent="0.25">
      <c r="A63" t="s">
        <v>1000</v>
      </c>
      <c r="B63" s="24">
        <v>4.1130903611110963</v>
      </c>
    </row>
    <row r="64" spans="1:2" x14ac:dyDescent="0.25">
      <c r="A64" t="s">
        <v>1001</v>
      </c>
      <c r="B64" s="24">
        <v>4.3947776648769974</v>
      </c>
    </row>
    <row r="65" spans="1:2" x14ac:dyDescent="0.25">
      <c r="A65" t="s">
        <v>1002</v>
      </c>
      <c r="B65" s="24">
        <v>8.3999999999999968</v>
      </c>
    </row>
    <row r="66" spans="1:2" x14ac:dyDescent="0.25">
      <c r="A66" t="s">
        <v>1003</v>
      </c>
      <c r="B66" s="24">
        <v>8.4</v>
      </c>
    </row>
    <row r="67" spans="1:2" x14ac:dyDescent="0.25">
      <c r="A67" t="s">
        <v>1002</v>
      </c>
      <c r="B67" s="24">
        <v>17.350004731459347</v>
      </c>
    </row>
    <row r="68" spans="1:2" x14ac:dyDescent="0.25">
      <c r="A68" t="s">
        <v>1004</v>
      </c>
      <c r="B68" s="24">
        <v>5.65</v>
      </c>
    </row>
    <row r="69" spans="1:2" x14ac:dyDescent="0.25">
      <c r="A69" t="s">
        <v>1005</v>
      </c>
      <c r="B69" s="24">
        <v>15.020000000000003</v>
      </c>
    </row>
    <row r="70" spans="1:2" x14ac:dyDescent="0.25">
      <c r="A70" t="s">
        <v>1006</v>
      </c>
      <c r="B70" s="24">
        <v>10.9</v>
      </c>
    </row>
    <row r="71" spans="1:2" x14ac:dyDescent="0.25">
      <c r="A71" t="s">
        <v>1007</v>
      </c>
      <c r="B71" s="24">
        <v>7.6000000000000076</v>
      </c>
    </row>
    <row r="72" spans="1:2" x14ac:dyDescent="0.25">
      <c r="A72" t="s">
        <v>1008</v>
      </c>
      <c r="B72" s="24">
        <v>11.4</v>
      </c>
    </row>
    <row r="73" spans="1:2" x14ac:dyDescent="0.25">
      <c r="A73" t="s">
        <v>1009</v>
      </c>
      <c r="B73" s="24">
        <v>4.7122529785388068</v>
      </c>
    </row>
    <row r="74" spans="1:2" x14ac:dyDescent="0.25">
      <c r="A74" t="s">
        <v>1010</v>
      </c>
      <c r="B74" s="24">
        <v>4.7122529785388112</v>
      </c>
    </row>
    <row r="75" spans="1:2" x14ac:dyDescent="0.25">
      <c r="A75" t="s">
        <v>1011</v>
      </c>
      <c r="B75" s="24">
        <v>0.5894503032831574</v>
      </c>
    </row>
    <row r="76" spans="1:2" x14ac:dyDescent="0.25">
      <c r="A76" t="s">
        <v>1011</v>
      </c>
      <c r="B76" s="24">
        <v>6.6313159119355465</v>
      </c>
    </row>
    <row r="77" spans="1:2" x14ac:dyDescent="0.25">
      <c r="A77" t="s">
        <v>1012</v>
      </c>
      <c r="B77" s="24">
        <v>6.6313159119355527</v>
      </c>
    </row>
    <row r="78" spans="1:2" x14ac:dyDescent="0.25">
      <c r="A78" t="s">
        <v>1013</v>
      </c>
      <c r="B78" s="24">
        <v>6.6313159119355527</v>
      </c>
    </row>
    <row r="79" spans="1:2" x14ac:dyDescent="0.25">
      <c r="A79" t="s">
        <v>1014</v>
      </c>
      <c r="B79" s="24">
        <v>5.9090245154087606</v>
      </c>
    </row>
    <row r="80" spans="1:2" x14ac:dyDescent="0.25">
      <c r="A80" t="s">
        <v>1015</v>
      </c>
      <c r="B80" s="24">
        <v>5.5997778811900218</v>
      </c>
    </row>
    <row r="81" spans="1:2" x14ac:dyDescent="0.25">
      <c r="A81" t="s">
        <v>1015</v>
      </c>
      <c r="B81" s="24">
        <v>5.5997778811900218</v>
      </c>
    </row>
    <row r="82" spans="1:2" x14ac:dyDescent="0.25">
      <c r="A82" t="s">
        <v>1016</v>
      </c>
      <c r="B82" s="24">
        <v>6.0418656086523939</v>
      </c>
    </row>
    <row r="83" spans="1:2" x14ac:dyDescent="0.25">
      <c r="A83" t="s">
        <v>1017</v>
      </c>
      <c r="B83" s="24">
        <v>5.9090245154087606</v>
      </c>
    </row>
    <row r="84" spans="1:2" x14ac:dyDescent="0.25">
      <c r="A84" t="s">
        <v>1018</v>
      </c>
      <c r="B84" s="24">
        <v>8.4</v>
      </c>
    </row>
    <row r="85" spans="1:2" x14ac:dyDescent="0.25">
      <c r="A85" t="s">
        <v>1019</v>
      </c>
      <c r="B85" s="24">
        <v>8.4</v>
      </c>
    </row>
    <row r="86" spans="1:2" x14ac:dyDescent="0.25">
      <c r="A86" t="s">
        <v>1019</v>
      </c>
      <c r="B86" s="24">
        <v>8.4</v>
      </c>
    </row>
    <row r="87" spans="1:2" x14ac:dyDescent="0.25">
      <c r="A87" t="s">
        <v>1020</v>
      </c>
      <c r="B87" s="24">
        <v>8.4</v>
      </c>
    </row>
    <row r="88" spans="1:2" x14ac:dyDescent="0.25">
      <c r="A88" t="s">
        <v>1021</v>
      </c>
      <c r="B88" s="24">
        <v>8.3999999999999968</v>
      </c>
    </row>
    <row r="89" spans="1:2" x14ac:dyDescent="0.25">
      <c r="A89" t="s">
        <v>1022</v>
      </c>
      <c r="B89" s="24">
        <v>8.3999999999999968</v>
      </c>
    </row>
    <row r="90" spans="1:2" x14ac:dyDescent="0.25">
      <c r="A90" t="s">
        <v>1023</v>
      </c>
      <c r="B90" s="24">
        <v>3.9000094629187028</v>
      </c>
    </row>
    <row r="91" spans="1:2" x14ac:dyDescent="0.25">
      <c r="A91" t="s">
        <v>1024</v>
      </c>
      <c r="B91" s="24">
        <v>4.0053669857106806</v>
      </c>
    </row>
    <row r="92" spans="1:2" x14ac:dyDescent="0.25">
      <c r="A92" t="s">
        <v>1025</v>
      </c>
      <c r="B92" s="24">
        <v>4.0053669857106815</v>
      </c>
    </row>
    <row r="93" spans="1:2" x14ac:dyDescent="0.25">
      <c r="A93" t="s">
        <v>1026</v>
      </c>
      <c r="B93" s="24">
        <v>4.0459040815423117</v>
      </c>
    </row>
    <row r="94" spans="1:2" x14ac:dyDescent="0.25">
      <c r="A94" t="s">
        <v>1027</v>
      </c>
      <c r="B94" s="24">
        <v>0.86591376023391498</v>
      </c>
    </row>
    <row r="95" spans="1:2" x14ac:dyDescent="0.25">
      <c r="A95" t="s">
        <v>1027</v>
      </c>
      <c r="B95" s="24">
        <v>0.86591376023391498</v>
      </c>
    </row>
    <row r="96" spans="1:2" x14ac:dyDescent="0.25">
      <c r="A96" t="s">
        <v>1028</v>
      </c>
      <c r="B96" s="24">
        <v>2.1695790481574777</v>
      </c>
    </row>
    <row r="97" spans="1:2" x14ac:dyDescent="0.25">
      <c r="A97" t="s">
        <v>1029</v>
      </c>
      <c r="B97" s="24">
        <v>2.1695790481574715</v>
      </c>
    </row>
    <row r="98" spans="1:2" x14ac:dyDescent="0.25">
      <c r="A98" t="s">
        <v>1030</v>
      </c>
      <c r="B98" s="24">
        <v>7.3707421875000003</v>
      </c>
    </row>
    <row r="99" spans="1:2" x14ac:dyDescent="0.25">
      <c r="A99" t="s">
        <v>1031</v>
      </c>
      <c r="B99" s="24">
        <v>0.9</v>
      </c>
    </row>
    <row r="100" spans="1:2" x14ac:dyDescent="0.25">
      <c r="A100" t="s">
        <v>1031</v>
      </c>
      <c r="B100" s="24">
        <v>0.9</v>
      </c>
    </row>
    <row r="101" spans="1:2" x14ac:dyDescent="0.25">
      <c r="A101" t="s">
        <v>1032</v>
      </c>
      <c r="B101" s="24">
        <v>8.9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undry_Items"/>
  <dimension ref="A1:H1"/>
  <sheetViews>
    <sheetView workbookViewId="0"/>
  </sheetViews>
  <sheetFormatPr defaultColWidth="11.5546875" defaultRowHeight="13.2" x14ac:dyDescent="0.25"/>
  <cols>
    <col min="1" max="1" width="9.44140625" style="1" customWidth="1"/>
    <col min="2" max="2" width="12.6640625" style="1" bestFit="1" customWidth="1"/>
    <col min="3" max="3" width="13.6640625" style="1" customWidth="1"/>
    <col min="4" max="4" width="10.6640625" style="13" customWidth="1"/>
    <col min="5" max="5" width="11.33203125" style="13" bestFit="1" customWidth="1"/>
    <col min="6" max="6" width="11.5546875" style="1"/>
    <col min="7" max="7" width="24.33203125" style="1" customWidth="1"/>
    <col min="8" max="8" width="13.33203125" style="10" customWidth="1"/>
    <col min="9" max="16384" width="11.5546875" style="1"/>
  </cols>
  <sheetData>
    <row r="1" spans="1:8" s="14" customFormat="1" x14ac:dyDescent="0.25">
      <c r="A1" s="17" t="s">
        <v>26</v>
      </c>
      <c r="B1" s="17" t="s">
        <v>40</v>
      </c>
      <c r="C1" s="17" t="s">
        <v>60</v>
      </c>
      <c r="D1" s="21" t="s">
        <v>51</v>
      </c>
      <c r="E1" s="21" t="s">
        <v>52</v>
      </c>
      <c r="F1" s="17" t="s">
        <v>27</v>
      </c>
      <c r="G1" s="17" t="s">
        <v>36</v>
      </c>
      <c r="H1" s="18" t="s">
        <v>184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ixing_organs"/>
  <dimension ref="A1:L6"/>
  <sheetViews>
    <sheetView workbookViewId="0"/>
  </sheetViews>
  <sheetFormatPr defaultRowHeight="13.2" x14ac:dyDescent="0.25"/>
  <cols>
    <col min="1" max="1" width="17.33203125" style="1" customWidth="1"/>
    <col min="2" max="2" width="20.44140625" customWidth="1"/>
    <col min="3" max="3" width="9.109375" style="1" customWidth="1"/>
    <col min="4" max="4" width="16.88671875" style="1" customWidth="1"/>
    <col min="5" max="6" width="17.109375" style="1" customWidth="1"/>
    <col min="7" max="7" width="16.33203125" style="1" customWidth="1"/>
    <col min="8" max="8" width="11.44140625" style="1" customWidth="1"/>
    <col min="9" max="9" width="13.109375" bestFit="1" customWidth="1"/>
    <col min="10" max="11" width="11.44140625" customWidth="1"/>
    <col min="12" max="12" width="16.33203125" style="11" customWidth="1"/>
    <col min="13" max="256" width="11.44140625" customWidth="1"/>
  </cols>
  <sheetData>
    <row r="1" spans="1:12" s="15" customFormat="1" x14ac:dyDescent="0.25">
      <c r="A1" s="17" t="s">
        <v>77</v>
      </c>
      <c r="B1" s="17" t="s">
        <v>76</v>
      </c>
      <c r="C1" s="17" t="s">
        <v>75</v>
      </c>
      <c r="D1" s="17" t="s">
        <v>81</v>
      </c>
      <c r="E1" s="17" t="s">
        <v>40</v>
      </c>
      <c r="F1" s="17" t="s">
        <v>78</v>
      </c>
      <c r="G1" s="17" t="s">
        <v>74</v>
      </c>
      <c r="H1" s="17" t="s">
        <v>27</v>
      </c>
      <c r="I1" s="19" t="s">
        <v>79</v>
      </c>
      <c r="J1" s="19" t="s">
        <v>52</v>
      </c>
      <c r="K1" s="19" t="s">
        <v>80</v>
      </c>
      <c r="L1" s="20" t="s">
        <v>185</v>
      </c>
    </row>
    <row r="2" spans="1:12" x14ac:dyDescent="0.25">
      <c r="B2" s="1"/>
    </row>
    <row r="3" spans="1:12" x14ac:dyDescent="0.25">
      <c r="B3" s="1"/>
    </row>
    <row r="4" spans="1:12" x14ac:dyDescent="0.25">
      <c r="B4" s="1"/>
    </row>
    <row r="5" spans="1:12" x14ac:dyDescent="0.25">
      <c r="B5" s="1"/>
    </row>
    <row r="6" spans="1:12" x14ac:dyDescent="0.25">
      <c r="B6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72CB3-14B7-421B-B459-19FD876644A1}">
  <sheetPr codeName="Sheet5"/>
  <dimension ref="A1:M6"/>
  <sheetViews>
    <sheetView workbookViewId="0">
      <selection activeCell="B1" sqref="B1"/>
    </sheetView>
  </sheetViews>
  <sheetFormatPr defaultRowHeight="13.2" x14ac:dyDescent="0.25"/>
  <cols>
    <col min="1" max="1" width="17.33203125" style="1" customWidth="1"/>
    <col min="2" max="2" width="20.44140625" customWidth="1"/>
    <col min="3" max="3" width="10.6640625" style="1" bestFit="1" customWidth="1"/>
    <col min="4" max="4" width="11.109375" style="1" bestFit="1" customWidth="1"/>
    <col min="5" max="7" width="17.109375" style="1" customWidth="1"/>
    <col min="8" max="8" width="16.33203125" style="1" customWidth="1"/>
    <col min="9" max="9" width="11.44140625" style="1" customWidth="1"/>
    <col min="10" max="10" width="13.109375" bestFit="1" customWidth="1"/>
    <col min="11" max="12" width="11.44140625" customWidth="1"/>
    <col min="13" max="13" width="16.33203125" style="11" customWidth="1"/>
    <col min="14" max="257" width="11.44140625" customWidth="1"/>
  </cols>
  <sheetData>
    <row r="1" spans="1:13" s="15" customFormat="1" x14ac:dyDescent="0.25">
      <c r="A1" s="17" t="s">
        <v>130</v>
      </c>
      <c r="B1" s="17" t="s">
        <v>27</v>
      </c>
      <c r="C1" s="17" t="s">
        <v>64</v>
      </c>
      <c r="D1" s="17" t="s">
        <v>59</v>
      </c>
      <c r="E1" s="17" t="s">
        <v>8</v>
      </c>
      <c r="F1" s="17" t="s">
        <v>36</v>
      </c>
      <c r="G1" s="17" t="s">
        <v>75</v>
      </c>
      <c r="H1" s="17"/>
      <c r="I1" s="17"/>
      <c r="J1" s="19"/>
      <c r="K1" s="19"/>
      <c r="L1" s="19"/>
      <c r="M1" s="20"/>
    </row>
    <row r="2" spans="1:13" x14ac:dyDescent="0.25">
      <c r="B2" s="1"/>
    </row>
    <row r="3" spans="1:13" x14ac:dyDescent="0.25">
      <c r="B3" s="1"/>
    </row>
    <row r="4" spans="1:13" x14ac:dyDescent="0.25">
      <c r="B4" s="1"/>
    </row>
    <row r="5" spans="1:13" x14ac:dyDescent="0.25">
      <c r="B5" s="1"/>
    </row>
    <row r="6" spans="1:13" x14ac:dyDescent="0.25">
      <c r="B6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D870B-F6A8-4611-9C38-27797FA3F7A1}">
  <sheetPr codeName="Sheet6"/>
  <dimension ref="A1:U27"/>
  <sheetViews>
    <sheetView workbookViewId="0"/>
  </sheetViews>
  <sheetFormatPr defaultRowHeight="13.2" x14ac:dyDescent="0.25"/>
  <cols>
    <col min="1" max="2" width="15.6640625" customWidth="1"/>
    <col min="3" max="3" width="30.6640625" customWidth="1"/>
    <col min="4" max="4" width="14.88671875" customWidth="1"/>
    <col min="5" max="9" width="15.6640625" style="22" customWidth="1"/>
    <col min="10" max="10" width="15.6640625" style="35" customWidth="1"/>
    <col min="11" max="11" width="15.6640625" style="39" customWidth="1"/>
    <col min="12" max="12" width="14.33203125" customWidth="1"/>
  </cols>
  <sheetData>
    <row r="1" spans="1:21" s="15" customFormat="1" x14ac:dyDescent="0.25">
      <c r="A1" s="17" t="s">
        <v>75</v>
      </c>
      <c r="B1" s="17" t="s">
        <v>26</v>
      </c>
      <c r="C1" s="17" t="s">
        <v>143</v>
      </c>
      <c r="D1" s="17" t="s">
        <v>142</v>
      </c>
      <c r="E1" s="17" t="s">
        <v>50</v>
      </c>
      <c r="F1" s="18" t="s">
        <v>64</v>
      </c>
      <c r="G1" s="17" t="s">
        <v>52</v>
      </c>
      <c r="H1" s="17" t="s">
        <v>144</v>
      </c>
      <c r="I1" s="17" t="s">
        <v>145</v>
      </c>
      <c r="J1" s="38" t="s">
        <v>140</v>
      </c>
      <c r="K1" s="18" t="s">
        <v>179</v>
      </c>
      <c r="L1" s="14"/>
      <c r="M1" s="14"/>
      <c r="N1" s="36"/>
      <c r="O1" s="14"/>
      <c r="P1" s="14"/>
      <c r="R1" s="14"/>
      <c r="T1" s="16"/>
      <c r="U1" s="16"/>
    </row>
    <row r="27" spans="4:4" x14ac:dyDescent="0.25">
      <c r="D27" s="37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60F3-DB31-4828-BBED-CFB1FC53C7BA}">
  <sheetPr codeName="Sheet7"/>
  <dimension ref="A1:V408"/>
  <sheetViews>
    <sheetView tabSelected="1" workbookViewId="0">
      <selection activeCell="C1" sqref="C1"/>
    </sheetView>
  </sheetViews>
  <sheetFormatPr defaultRowHeight="13.2" x14ac:dyDescent="0.25"/>
  <cols>
    <col min="1" max="2" width="15.6640625" customWidth="1"/>
    <col min="3" max="3" width="18.6640625" customWidth="1"/>
    <col min="4" max="4" width="30.6640625" customWidth="1"/>
    <col min="5" max="5" width="14.88671875" customWidth="1"/>
    <col min="6" max="10" width="15.6640625" style="22" customWidth="1"/>
    <col min="11" max="11" width="15.6640625" style="35" customWidth="1"/>
    <col min="12" max="12" width="15.6640625" style="39" customWidth="1"/>
  </cols>
  <sheetData>
    <row r="1" spans="1:22" s="15" customFormat="1" ht="13.8" x14ac:dyDescent="0.25">
      <c r="A1" s="17" t="s">
        <v>75</v>
      </c>
      <c r="B1" s="17" t="s">
        <v>26</v>
      </c>
      <c r="C1" s="41">
        <f>SUM(C2:C100)/1000</f>
        <v>330.66</v>
      </c>
      <c r="D1" s="17" t="s">
        <v>143</v>
      </c>
      <c r="E1" s="17" t="s">
        <v>142</v>
      </c>
      <c r="F1" s="17" t="s">
        <v>50</v>
      </c>
      <c r="G1" s="17" t="s">
        <v>64</v>
      </c>
      <c r="H1" s="17" t="s">
        <v>52</v>
      </c>
      <c r="I1" s="18" t="s">
        <v>144</v>
      </c>
      <c r="J1" s="17" t="s">
        <v>145</v>
      </c>
      <c r="K1" s="38" t="s">
        <v>140</v>
      </c>
      <c r="L1" s="18" t="s">
        <v>179</v>
      </c>
      <c r="M1" s="14"/>
      <c r="N1" s="14"/>
      <c r="O1" s="36"/>
      <c r="P1" s="14"/>
      <c r="Q1" s="14"/>
      <c r="S1" s="14"/>
      <c r="U1" s="16"/>
      <c r="V1" s="16"/>
    </row>
    <row r="2" spans="1:22" x14ac:dyDescent="0.25">
      <c r="A2">
        <v>1</v>
      </c>
      <c r="B2">
        <v>660</v>
      </c>
      <c r="C2">
        <f>A2*B2</f>
        <v>660</v>
      </c>
      <c r="D2" t="s">
        <v>1033</v>
      </c>
      <c r="F2" s="22">
        <v>30</v>
      </c>
      <c r="G2" s="22">
        <v>762</v>
      </c>
      <c r="H2" s="22">
        <v>20000</v>
      </c>
      <c r="I2" s="22">
        <v>542.00000000000398</v>
      </c>
      <c r="J2" s="22">
        <v>603.03025173755304</v>
      </c>
      <c r="K2" s="35">
        <v>152.4</v>
      </c>
      <c r="L2" s="39">
        <v>1</v>
      </c>
    </row>
    <row r="3" spans="1:22" x14ac:dyDescent="0.25">
      <c r="A3">
        <v>1</v>
      </c>
      <c r="B3">
        <v>810</v>
      </c>
      <c r="C3">
        <f t="shared" ref="C3:C66" si="0">A3*B3</f>
        <v>810</v>
      </c>
      <c r="D3" t="s">
        <v>1034</v>
      </c>
      <c r="F3" s="22">
        <v>30</v>
      </c>
      <c r="G3" s="22">
        <v>700</v>
      </c>
      <c r="H3" s="22">
        <v>20000</v>
      </c>
      <c r="I3" s="22">
        <v>699.99999999999989</v>
      </c>
      <c r="J3" s="22">
        <v>757.67454020467278</v>
      </c>
      <c r="K3" s="35">
        <v>140</v>
      </c>
      <c r="L3" s="39">
        <v>1</v>
      </c>
    </row>
    <row r="4" spans="1:22" x14ac:dyDescent="0.25">
      <c r="A4">
        <v>1</v>
      </c>
      <c r="B4">
        <v>1390</v>
      </c>
      <c r="C4">
        <f t="shared" si="0"/>
        <v>1390</v>
      </c>
      <c r="D4" t="s">
        <v>1034</v>
      </c>
      <c r="F4" s="22">
        <v>30</v>
      </c>
      <c r="G4" s="22">
        <v>700</v>
      </c>
      <c r="H4" s="22">
        <v>20000</v>
      </c>
      <c r="I4" s="22">
        <v>700.00000000000705</v>
      </c>
      <c r="J4" s="22">
        <v>1337.4963979515378</v>
      </c>
      <c r="K4" s="35">
        <v>9.3624747856607655</v>
      </c>
      <c r="L4" s="39">
        <v>1</v>
      </c>
    </row>
    <row r="5" spans="1:22" x14ac:dyDescent="0.25">
      <c r="A5">
        <v>1</v>
      </c>
      <c r="B5">
        <v>1510</v>
      </c>
      <c r="C5">
        <f t="shared" si="0"/>
        <v>1510</v>
      </c>
      <c r="D5" t="s">
        <v>1033</v>
      </c>
      <c r="F5" s="22">
        <v>30</v>
      </c>
      <c r="G5" s="22">
        <v>762</v>
      </c>
      <c r="H5" s="22">
        <v>20000</v>
      </c>
      <c r="I5" s="22">
        <v>761.99999999999977</v>
      </c>
      <c r="J5" s="22">
        <v>1450.8329303796472</v>
      </c>
      <c r="K5" s="35">
        <v>152.4</v>
      </c>
      <c r="L5" s="39">
        <v>1</v>
      </c>
    </row>
    <row r="6" spans="1:22" x14ac:dyDescent="0.25">
      <c r="A6">
        <v>1</v>
      </c>
      <c r="B6">
        <v>1570</v>
      </c>
      <c r="C6">
        <f t="shared" si="0"/>
        <v>1570</v>
      </c>
      <c r="D6" t="s">
        <v>1034</v>
      </c>
      <c r="F6" s="22">
        <v>30</v>
      </c>
      <c r="G6" s="22">
        <v>700</v>
      </c>
      <c r="H6" s="22">
        <v>20000</v>
      </c>
      <c r="I6" s="22">
        <v>699.99999999999977</v>
      </c>
      <c r="J6" s="22">
        <v>1515.349080409349</v>
      </c>
      <c r="K6" s="35">
        <v>140</v>
      </c>
      <c r="L6" s="39">
        <v>1</v>
      </c>
    </row>
    <row r="7" spans="1:22" x14ac:dyDescent="0.25">
      <c r="A7">
        <v>1</v>
      </c>
      <c r="B7">
        <v>1860</v>
      </c>
      <c r="C7">
        <f t="shared" si="0"/>
        <v>1860</v>
      </c>
      <c r="D7" t="s">
        <v>1034</v>
      </c>
      <c r="F7" s="22">
        <v>30</v>
      </c>
      <c r="G7" s="22">
        <v>700</v>
      </c>
      <c r="H7" s="22">
        <v>20000</v>
      </c>
      <c r="I7" s="22">
        <v>699.99999999999966</v>
      </c>
      <c r="J7" s="22">
        <v>1801.4409828963981</v>
      </c>
      <c r="K7" s="35">
        <v>12.610086880274789</v>
      </c>
      <c r="L7" s="39">
        <v>1</v>
      </c>
    </row>
    <row r="8" spans="1:22" x14ac:dyDescent="0.25">
      <c r="A8">
        <v>1</v>
      </c>
      <c r="B8">
        <v>2330</v>
      </c>
      <c r="C8">
        <f t="shared" si="0"/>
        <v>2330</v>
      </c>
      <c r="D8" t="s">
        <v>1034</v>
      </c>
      <c r="F8" s="22">
        <v>30</v>
      </c>
      <c r="G8" s="22">
        <v>700</v>
      </c>
      <c r="H8" s="22">
        <v>20000</v>
      </c>
      <c r="I8" s="22">
        <v>700.00000000000682</v>
      </c>
      <c r="J8" s="22">
        <v>2273.0236206140253</v>
      </c>
      <c r="K8" s="35">
        <v>140</v>
      </c>
      <c r="L8" s="39">
        <v>1</v>
      </c>
    </row>
    <row r="9" spans="1:22" x14ac:dyDescent="0.25">
      <c r="A9">
        <v>1</v>
      </c>
      <c r="B9">
        <v>2350</v>
      </c>
      <c r="C9">
        <f t="shared" si="0"/>
        <v>2350</v>
      </c>
      <c r="D9" t="s">
        <v>1033</v>
      </c>
      <c r="F9" s="22">
        <v>30</v>
      </c>
      <c r="G9" s="22">
        <v>762</v>
      </c>
      <c r="H9" s="22">
        <v>20000</v>
      </c>
      <c r="I9" s="22">
        <v>762.00000000000045</v>
      </c>
      <c r="J9" s="22">
        <v>2298.6356090217396</v>
      </c>
      <c r="K9" s="35">
        <v>152.4</v>
      </c>
      <c r="L9" s="39">
        <v>1</v>
      </c>
    </row>
    <row r="10" spans="1:22" x14ac:dyDescent="0.25">
      <c r="A10">
        <v>1</v>
      </c>
      <c r="B10">
        <v>3090</v>
      </c>
      <c r="C10">
        <f t="shared" si="0"/>
        <v>3090</v>
      </c>
      <c r="D10" t="s">
        <v>1034</v>
      </c>
      <c r="F10" s="22">
        <v>30</v>
      </c>
      <c r="G10" s="22">
        <v>700</v>
      </c>
      <c r="H10" s="22">
        <v>20000</v>
      </c>
      <c r="I10" s="22">
        <v>700.00000000000671</v>
      </c>
      <c r="J10" s="22">
        <v>3030.6981608187016</v>
      </c>
      <c r="K10" s="35">
        <v>140</v>
      </c>
      <c r="L10" s="39">
        <v>1</v>
      </c>
    </row>
    <row r="11" spans="1:22" x14ac:dyDescent="0.25">
      <c r="A11">
        <v>1</v>
      </c>
      <c r="B11">
        <v>3200</v>
      </c>
      <c r="C11">
        <f t="shared" si="0"/>
        <v>3200</v>
      </c>
      <c r="D11" t="s">
        <v>1033</v>
      </c>
      <c r="F11" s="22">
        <v>30</v>
      </c>
      <c r="G11" s="22">
        <v>762</v>
      </c>
      <c r="H11" s="22">
        <v>20000</v>
      </c>
      <c r="I11" s="22">
        <v>762.00000000000034</v>
      </c>
      <c r="J11" s="22">
        <v>3146.4382876638319</v>
      </c>
      <c r="K11" s="35">
        <v>152.4</v>
      </c>
      <c r="L11" s="39">
        <v>1</v>
      </c>
    </row>
    <row r="12" spans="1:22" x14ac:dyDescent="0.25">
      <c r="A12">
        <v>1</v>
      </c>
      <c r="B12">
        <v>3840</v>
      </c>
      <c r="C12">
        <f t="shared" si="0"/>
        <v>3840</v>
      </c>
      <c r="D12" t="s">
        <v>1034</v>
      </c>
      <c r="F12" s="22">
        <v>30</v>
      </c>
      <c r="G12" s="22">
        <v>700</v>
      </c>
      <c r="H12" s="22">
        <v>20000</v>
      </c>
      <c r="I12" s="22">
        <v>700.00000000000659</v>
      </c>
      <c r="J12" s="22">
        <v>3788.3727010233779</v>
      </c>
      <c r="K12" s="35">
        <v>140</v>
      </c>
      <c r="L12" s="39">
        <v>1</v>
      </c>
    </row>
    <row r="13" spans="1:22" x14ac:dyDescent="0.25">
      <c r="A13">
        <v>1</v>
      </c>
      <c r="B13">
        <v>4050</v>
      </c>
      <c r="C13">
        <f t="shared" si="0"/>
        <v>4050</v>
      </c>
      <c r="D13" t="s">
        <v>1033</v>
      </c>
      <c r="F13" s="22">
        <v>30</v>
      </c>
      <c r="G13" s="22">
        <v>762</v>
      </c>
      <c r="H13" s="22">
        <v>20000</v>
      </c>
      <c r="I13" s="22">
        <v>762.00000000000045</v>
      </c>
      <c r="J13" s="22">
        <v>3994.2409663059279</v>
      </c>
      <c r="K13" s="35">
        <v>152.4</v>
      </c>
      <c r="L13" s="39">
        <v>1</v>
      </c>
    </row>
    <row r="14" spans="1:22" x14ac:dyDescent="0.25">
      <c r="A14">
        <v>18</v>
      </c>
      <c r="B14">
        <v>4060</v>
      </c>
      <c r="C14">
        <f t="shared" si="0"/>
        <v>73080</v>
      </c>
      <c r="D14" t="s">
        <v>1035</v>
      </c>
      <c r="F14" s="22">
        <v>30</v>
      </c>
      <c r="G14" s="22">
        <v>686</v>
      </c>
      <c r="H14" s="22">
        <v>20000</v>
      </c>
      <c r="K14" s="35">
        <v>27.476816148441422</v>
      </c>
      <c r="L14" s="39">
        <v>1</v>
      </c>
    </row>
    <row r="15" spans="1:22" x14ac:dyDescent="0.25">
      <c r="A15">
        <v>11</v>
      </c>
      <c r="B15">
        <v>4100</v>
      </c>
      <c r="C15">
        <f t="shared" si="0"/>
        <v>45100</v>
      </c>
      <c r="D15" t="s">
        <v>1034</v>
      </c>
      <c r="F15" s="22">
        <v>30</v>
      </c>
      <c r="G15" s="22">
        <v>700</v>
      </c>
      <c r="H15" s="22">
        <v>20000</v>
      </c>
      <c r="K15" s="35">
        <v>28.321328570796183</v>
      </c>
      <c r="L15" s="39">
        <v>1</v>
      </c>
    </row>
    <row r="16" spans="1:22" x14ac:dyDescent="0.25">
      <c r="A16">
        <v>11</v>
      </c>
      <c r="B16">
        <v>4170</v>
      </c>
      <c r="C16">
        <f t="shared" si="0"/>
        <v>45870</v>
      </c>
      <c r="D16" t="s">
        <v>1034</v>
      </c>
      <c r="F16" s="22">
        <v>30</v>
      </c>
      <c r="G16" s="22">
        <v>700</v>
      </c>
      <c r="H16" s="22">
        <v>20000</v>
      </c>
      <c r="K16" s="35">
        <v>140</v>
      </c>
      <c r="L16" s="39">
        <v>1</v>
      </c>
    </row>
    <row r="17" spans="1:12" x14ac:dyDescent="0.25">
      <c r="A17">
        <v>15</v>
      </c>
      <c r="B17">
        <v>4450</v>
      </c>
      <c r="C17">
        <f t="shared" si="0"/>
        <v>66750</v>
      </c>
      <c r="D17" t="s">
        <v>1033</v>
      </c>
      <c r="F17" s="22">
        <v>30</v>
      </c>
      <c r="G17" s="22">
        <v>762</v>
      </c>
      <c r="H17" s="22">
        <v>20000</v>
      </c>
      <c r="I17" s="22">
        <v>762.00000000000125</v>
      </c>
      <c r="J17" s="22">
        <v>4394.7776648769986</v>
      </c>
      <c r="K17" s="35">
        <v>33.488205806362735</v>
      </c>
      <c r="L17" s="39">
        <v>1</v>
      </c>
    </row>
    <row r="18" spans="1:12" x14ac:dyDescent="0.25">
      <c r="A18">
        <v>12</v>
      </c>
      <c r="B18">
        <v>6100</v>
      </c>
      <c r="C18">
        <f t="shared" si="0"/>
        <v>73200</v>
      </c>
      <c r="D18" t="s">
        <v>1033</v>
      </c>
      <c r="F18" s="22">
        <v>30</v>
      </c>
      <c r="G18" s="22">
        <v>762</v>
      </c>
      <c r="H18" s="22">
        <v>20000</v>
      </c>
      <c r="K18" s="35">
        <v>46.049558404551703</v>
      </c>
      <c r="L18" s="39">
        <v>1</v>
      </c>
    </row>
    <row r="19" spans="1:12" x14ac:dyDescent="0.25">
      <c r="C19">
        <f t="shared" si="0"/>
        <v>0</v>
      </c>
    </row>
    <row r="20" spans="1:12" x14ac:dyDescent="0.25">
      <c r="C20">
        <f t="shared" si="0"/>
        <v>0</v>
      </c>
    </row>
    <row r="21" spans="1:12" x14ac:dyDescent="0.25">
      <c r="C21">
        <f t="shared" si="0"/>
        <v>0</v>
      </c>
    </row>
    <row r="22" spans="1:12" x14ac:dyDescent="0.25">
      <c r="C22">
        <f t="shared" si="0"/>
        <v>0</v>
      </c>
    </row>
    <row r="23" spans="1:12" x14ac:dyDescent="0.25">
      <c r="C23">
        <f t="shared" si="0"/>
        <v>0</v>
      </c>
    </row>
    <row r="24" spans="1:12" x14ac:dyDescent="0.25">
      <c r="C24">
        <f t="shared" si="0"/>
        <v>0</v>
      </c>
    </row>
    <row r="25" spans="1:12" x14ac:dyDescent="0.25">
      <c r="C25">
        <f t="shared" si="0"/>
        <v>0</v>
      </c>
    </row>
    <row r="26" spans="1:12" x14ac:dyDescent="0.25">
      <c r="C26">
        <f t="shared" si="0"/>
        <v>0</v>
      </c>
    </row>
    <row r="27" spans="1:12" x14ac:dyDescent="0.25">
      <c r="C27">
        <f t="shared" si="0"/>
        <v>0</v>
      </c>
      <c r="E27" s="37"/>
    </row>
    <row r="28" spans="1:12" x14ac:dyDescent="0.25">
      <c r="C28">
        <f t="shared" si="0"/>
        <v>0</v>
      </c>
    </row>
    <row r="29" spans="1:12" x14ac:dyDescent="0.25">
      <c r="C29">
        <f t="shared" si="0"/>
        <v>0</v>
      </c>
    </row>
    <row r="30" spans="1:12" x14ac:dyDescent="0.25">
      <c r="C30">
        <f t="shared" si="0"/>
        <v>0</v>
      </c>
    </row>
    <row r="31" spans="1:12" x14ac:dyDescent="0.25">
      <c r="C31">
        <f t="shared" si="0"/>
        <v>0</v>
      </c>
    </row>
    <row r="32" spans="1:12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si="0"/>
        <v>0</v>
      </c>
    </row>
    <row r="67" spans="3:3" x14ac:dyDescent="0.25">
      <c r="C67">
        <f t="shared" ref="C67:C130" si="1">A67*B67</f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3" x14ac:dyDescent="0.25">
      <c r="C97">
        <f t="shared" si="1"/>
        <v>0</v>
      </c>
    </row>
    <row r="98" spans="3:3" x14ac:dyDescent="0.25">
      <c r="C98">
        <f t="shared" si="1"/>
        <v>0</v>
      </c>
    </row>
    <row r="99" spans="3:3" x14ac:dyDescent="0.25">
      <c r="C99">
        <f t="shared" si="1"/>
        <v>0</v>
      </c>
    </row>
    <row r="100" spans="3:3" x14ac:dyDescent="0.25">
      <c r="C100">
        <f t="shared" si="1"/>
        <v>0</v>
      </c>
    </row>
    <row r="101" spans="3:3" x14ac:dyDescent="0.25">
      <c r="C101">
        <f t="shared" si="1"/>
        <v>0</v>
      </c>
    </row>
    <row r="102" spans="3:3" x14ac:dyDescent="0.25">
      <c r="C102">
        <f t="shared" si="1"/>
        <v>0</v>
      </c>
    </row>
    <row r="103" spans="3:3" x14ac:dyDescent="0.25">
      <c r="C103">
        <f t="shared" si="1"/>
        <v>0</v>
      </c>
    </row>
    <row r="104" spans="3:3" x14ac:dyDescent="0.25">
      <c r="C104">
        <f t="shared" si="1"/>
        <v>0</v>
      </c>
    </row>
    <row r="105" spans="3:3" x14ac:dyDescent="0.25">
      <c r="C105">
        <f t="shared" si="1"/>
        <v>0</v>
      </c>
    </row>
    <row r="106" spans="3:3" x14ac:dyDescent="0.25">
      <c r="C106">
        <f t="shared" si="1"/>
        <v>0</v>
      </c>
    </row>
    <row r="107" spans="3:3" x14ac:dyDescent="0.25">
      <c r="C107">
        <f t="shared" si="1"/>
        <v>0</v>
      </c>
    </row>
    <row r="108" spans="3:3" x14ac:dyDescent="0.25">
      <c r="C108">
        <f t="shared" si="1"/>
        <v>0</v>
      </c>
    </row>
    <row r="109" spans="3:3" x14ac:dyDescent="0.25">
      <c r="C109">
        <f t="shared" si="1"/>
        <v>0</v>
      </c>
    </row>
    <row r="110" spans="3:3" x14ac:dyDescent="0.25">
      <c r="C110">
        <f t="shared" si="1"/>
        <v>0</v>
      </c>
    </row>
    <row r="111" spans="3:3" x14ac:dyDescent="0.25">
      <c r="C111">
        <f t="shared" si="1"/>
        <v>0</v>
      </c>
    </row>
    <row r="112" spans="3:3" x14ac:dyDescent="0.25">
      <c r="C112">
        <f t="shared" si="1"/>
        <v>0</v>
      </c>
    </row>
    <row r="113" spans="3:3" x14ac:dyDescent="0.25">
      <c r="C113">
        <f t="shared" si="1"/>
        <v>0</v>
      </c>
    </row>
    <row r="114" spans="3:3" x14ac:dyDescent="0.25">
      <c r="C114">
        <f t="shared" si="1"/>
        <v>0</v>
      </c>
    </row>
    <row r="115" spans="3:3" x14ac:dyDescent="0.25">
      <c r="C115">
        <f t="shared" si="1"/>
        <v>0</v>
      </c>
    </row>
    <row r="116" spans="3:3" x14ac:dyDescent="0.25">
      <c r="C116">
        <f t="shared" si="1"/>
        <v>0</v>
      </c>
    </row>
    <row r="117" spans="3:3" x14ac:dyDescent="0.25">
      <c r="C117">
        <f t="shared" si="1"/>
        <v>0</v>
      </c>
    </row>
    <row r="118" spans="3:3" x14ac:dyDescent="0.25">
      <c r="C118">
        <f t="shared" si="1"/>
        <v>0</v>
      </c>
    </row>
    <row r="119" spans="3:3" x14ac:dyDescent="0.25">
      <c r="C119">
        <f t="shared" si="1"/>
        <v>0</v>
      </c>
    </row>
    <row r="120" spans="3:3" x14ac:dyDescent="0.25">
      <c r="C120">
        <f t="shared" si="1"/>
        <v>0</v>
      </c>
    </row>
    <row r="121" spans="3:3" x14ac:dyDescent="0.25">
      <c r="C121">
        <f t="shared" si="1"/>
        <v>0</v>
      </c>
    </row>
    <row r="122" spans="3:3" x14ac:dyDescent="0.25">
      <c r="C122">
        <f t="shared" si="1"/>
        <v>0</v>
      </c>
    </row>
    <row r="123" spans="3:3" x14ac:dyDescent="0.25">
      <c r="C123">
        <f t="shared" si="1"/>
        <v>0</v>
      </c>
    </row>
    <row r="124" spans="3:3" x14ac:dyDescent="0.25">
      <c r="C124">
        <f t="shared" si="1"/>
        <v>0</v>
      </c>
    </row>
    <row r="125" spans="3:3" x14ac:dyDescent="0.25">
      <c r="C125">
        <f t="shared" si="1"/>
        <v>0</v>
      </c>
    </row>
    <row r="126" spans="3:3" x14ac:dyDescent="0.25">
      <c r="C126">
        <f t="shared" si="1"/>
        <v>0</v>
      </c>
    </row>
    <row r="127" spans="3:3" x14ac:dyDescent="0.25">
      <c r="C127">
        <f t="shared" si="1"/>
        <v>0</v>
      </c>
    </row>
    <row r="128" spans="3:3" x14ac:dyDescent="0.25">
      <c r="C128">
        <f t="shared" si="1"/>
        <v>0</v>
      </c>
    </row>
    <row r="129" spans="3:3" x14ac:dyDescent="0.25">
      <c r="C129">
        <f t="shared" si="1"/>
        <v>0</v>
      </c>
    </row>
    <row r="130" spans="3:3" x14ac:dyDescent="0.25">
      <c r="C130">
        <f t="shared" si="1"/>
        <v>0</v>
      </c>
    </row>
    <row r="131" spans="3:3" x14ac:dyDescent="0.25">
      <c r="C131">
        <f t="shared" ref="C131:C194" si="2">A131*B131</f>
        <v>0</v>
      </c>
    </row>
    <row r="132" spans="3:3" x14ac:dyDescent="0.25">
      <c r="C132">
        <f t="shared" si="2"/>
        <v>0</v>
      </c>
    </row>
    <row r="133" spans="3:3" x14ac:dyDescent="0.25">
      <c r="C133">
        <f t="shared" si="2"/>
        <v>0</v>
      </c>
    </row>
    <row r="134" spans="3:3" x14ac:dyDescent="0.25">
      <c r="C134">
        <f t="shared" si="2"/>
        <v>0</v>
      </c>
    </row>
    <row r="135" spans="3:3" x14ac:dyDescent="0.25">
      <c r="C135">
        <f t="shared" si="2"/>
        <v>0</v>
      </c>
    </row>
    <row r="136" spans="3:3" x14ac:dyDescent="0.25">
      <c r="C136">
        <f t="shared" si="2"/>
        <v>0</v>
      </c>
    </row>
    <row r="137" spans="3:3" x14ac:dyDescent="0.25">
      <c r="C137">
        <f t="shared" si="2"/>
        <v>0</v>
      </c>
    </row>
    <row r="138" spans="3:3" x14ac:dyDescent="0.25">
      <c r="C138">
        <f t="shared" si="2"/>
        <v>0</v>
      </c>
    </row>
    <row r="139" spans="3:3" x14ac:dyDescent="0.25">
      <c r="C139">
        <f t="shared" si="2"/>
        <v>0</v>
      </c>
    </row>
    <row r="140" spans="3:3" x14ac:dyDescent="0.25">
      <c r="C140">
        <f t="shared" si="2"/>
        <v>0</v>
      </c>
    </row>
    <row r="141" spans="3:3" x14ac:dyDescent="0.25">
      <c r="C141">
        <f t="shared" si="2"/>
        <v>0</v>
      </c>
    </row>
    <row r="142" spans="3:3" x14ac:dyDescent="0.25">
      <c r="C142">
        <f t="shared" si="2"/>
        <v>0</v>
      </c>
    </row>
    <row r="143" spans="3:3" x14ac:dyDescent="0.25">
      <c r="C143">
        <f t="shared" si="2"/>
        <v>0</v>
      </c>
    </row>
    <row r="144" spans="3:3" x14ac:dyDescent="0.25">
      <c r="C144">
        <f t="shared" si="2"/>
        <v>0</v>
      </c>
    </row>
    <row r="145" spans="3:3" x14ac:dyDescent="0.25">
      <c r="C145">
        <f t="shared" si="2"/>
        <v>0</v>
      </c>
    </row>
    <row r="146" spans="3:3" x14ac:dyDescent="0.25">
      <c r="C146">
        <f t="shared" si="2"/>
        <v>0</v>
      </c>
    </row>
    <row r="147" spans="3:3" x14ac:dyDescent="0.25">
      <c r="C147">
        <f t="shared" si="2"/>
        <v>0</v>
      </c>
    </row>
    <row r="148" spans="3:3" x14ac:dyDescent="0.25">
      <c r="C148">
        <f t="shared" si="2"/>
        <v>0</v>
      </c>
    </row>
    <row r="149" spans="3:3" x14ac:dyDescent="0.25">
      <c r="C149">
        <f t="shared" si="2"/>
        <v>0</v>
      </c>
    </row>
    <row r="150" spans="3:3" x14ac:dyDescent="0.25">
      <c r="C150">
        <f t="shared" si="2"/>
        <v>0</v>
      </c>
    </row>
    <row r="151" spans="3:3" x14ac:dyDescent="0.25">
      <c r="C151">
        <f t="shared" si="2"/>
        <v>0</v>
      </c>
    </row>
    <row r="152" spans="3:3" x14ac:dyDescent="0.25">
      <c r="C152">
        <f t="shared" si="2"/>
        <v>0</v>
      </c>
    </row>
    <row r="153" spans="3:3" x14ac:dyDescent="0.25">
      <c r="C153">
        <f t="shared" si="2"/>
        <v>0</v>
      </c>
    </row>
    <row r="154" spans="3:3" x14ac:dyDescent="0.25">
      <c r="C154">
        <f t="shared" si="2"/>
        <v>0</v>
      </c>
    </row>
    <row r="155" spans="3:3" x14ac:dyDescent="0.25">
      <c r="C155">
        <f t="shared" si="2"/>
        <v>0</v>
      </c>
    </row>
    <row r="156" spans="3:3" x14ac:dyDescent="0.25">
      <c r="C156">
        <f t="shared" si="2"/>
        <v>0</v>
      </c>
    </row>
    <row r="157" spans="3:3" x14ac:dyDescent="0.25">
      <c r="C157">
        <f t="shared" si="2"/>
        <v>0</v>
      </c>
    </row>
    <row r="158" spans="3:3" x14ac:dyDescent="0.25">
      <c r="C158">
        <f t="shared" si="2"/>
        <v>0</v>
      </c>
    </row>
    <row r="159" spans="3:3" x14ac:dyDescent="0.25">
      <c r="C159">
        <f t="shared" si="2"/>
        <v>0</v>
      </c>
    </row>
    <row r="160" spans="3:3" x14ac:dyDescent="0.25">
      <c r="C160">
        <f t="shared" si="2"/>
        <v>0</v>
      </c>
    </row>
    <row r="161" spans="3:3" x14ac:dyDescent="0.25">
      <c r="C161">
        <f t="shared" si="2"/>
        <v>0</v>
      </c>
    </row>
    <row r="162" spans="3:3" x14ac:dyDescent="0.25">
      <c r="C162">
        <f t="shared" si="2"/>
        <v>0</v>
      </c>
    </row>
    <row r="163" spans="3:3" x14ac:dyDescent="0.25">
      <c r="C163">
        <f t="shared" si="2"/>
        <v>0</v>
      </c>
    </row>
    <row r="164" spans="3:3" x14ac:dyDescent="0.25">
      <c r="C164">
        <f t="shared" si="2"/>
        <v>0</v>
      </c>
    </row>
    <row r="165" spans="3:3" x14ac:dyDescent="0.25">
      <c r="C165">
        <f t="shared" si="2"/>
        <v>0</v>
      </c>
    </row>
    <row r="166" spans="3:3" x14ac:dyDescent="0.25">
      <c r="C166">
        <f t="shared" si="2"/>
        <v>0</v>
      </c>
    </row>
    <row r="167" spans="3:3" x14ac:dyDescent="0.25">
      <c r="C167">
        <f t="shared" si="2"/>
        <v>0</v>
      </c>
    </row>
    <row r="168" spans="3:3" x14ac:dyDescent="0.25">
      <c r="C168">
        <f t="shared" si="2"/>
        <v>0</v>
      </c>
    </row>
    <row r="169" spans="3:3" x14ac:dyDescent="0.25">
      <c r="C169">
        <f t="shared" si="2"/>
        <v>0</v>
      </c>
    </row>
    <row r="170" spans="3:3" x14ac:dyDescent="0.25">
      <c r="C170">
        <f t="shared" si="2"/>
        <v>0</v>
      </c>
    </row>
    <row r="171" spans="3:3" x14ac:dyDescent="0.25">
      <c r="C171">
        <f t="shared" si="2"/>
        <v>0</v>
      </c>
    </row>
    <row r="172" spans="3:3" x14ac:dyDescent="0.25">
      <c r="C172">
        <f t="shared" si="2"/>
        <v>0</v>
      </c>
    </row>
    <row r="173" spans="3:3" x14ac:dyDescent="0.25">
      <c r="C173">
        <f t="shared" si="2"/>
        <v>0</v>
      </c>
    </row>
    <row r="174" spans="3:3" x14ac:dyDescent="0.25">
      <c r="C174">
        <f t="shared" si="2"/>
        <v>0</v>
      </c>
    </row>
    <row r="175" spans="3:3" x14ac:dyDescent="0.25">
      <c r="C175">
        <f t="shared" si="2"/>
        <v>0</v>
      </c>
    </row>
    <row r="176" spans="3:3" x14ac:dyDescent="0.25">
      <c r="C176">
        <f t="shared" si="2"/>
        <v>0</v>
      </c>
    </row>
    <row r="177" spans="3:3" x14ac:dyDescent="0.25">
      <c r="C177">
        <f t="shared" si="2"/>
        <v>0</v>
      </c>
    </row>
    <row r="178" spans="3:3" x14ac:dyDescent="0.25">
      <c r="C178">
        <f t="shared" si="2"/>
        <v>0</v>
      </c>
    </row>
    <row r="179" spans="3:3" x14ac:dyDescent="0.25">
      <c r="C179">
        <f t="shared" si="2"/>
        <v>0</v>
      </c>
    </row>
    <row r="180" spans="3:3" x14ac:dyDescent="0.25">
      <c r="C180">
        <f t="shared" si="2"/>
        <v>0</v>
      </c>
    </row>
    <row r="181" spans="3:3" x14ac:dyDescent="0.25">
      <c r="C181">
        <f t="shared" si="2"/>
        <v>0</v>
      </c>
    </row>
    <row r="182" spans="3:3" x14ac:dyDescent="0.25">
      <c r="C182">
        <f t="shared" si="2"/>
        <v>0</v>
      </c>
    </row>
    <row r="183" spans="3:3" x14ac:dyDescent="0.25">
      <c r="C183">
        <f t="shared" si="2"/>
        <v>0</v>
      </c>
    </row>
    <row r="184" spans="3:3" x14ac:dyDescent="0.25">
      <c r="C184">
        <f t="shared" si="2"/>
        <v>0</v>
      </c>
    </row>
    <row r="185" spans="3:3" x14ac:dyDescent="0.25">
      <c r="C185">
        <f t="shared" si="2"/>
        <v>0</v>
      </c>
    </row>
    <row r="186" spans="3:3" x14ac:dyDescent="0.25">
      <c r="C186">
        <f t="shared" si="2"/>
        <v>0</v>
      </c>
    </row>
    <row r="187" spans="3:3" x14ac:dyDescent="0.25">
      <c r="C187">
        <f t="shared" si="2"/>
        <v>0</v>
      </c>
    </row>
    <row r="188" spans="3:3" x14ac:dyDescent="0.25">
      <c r="C188">
        <f t="shared" si="2"/>
        <v>0</v>
      </c>
    </row>
    <row r="189" spans="3:3" x14ac:dyDescent="0.25">
      <c r="C189">
        <f t="shared" si="2"/>
        <v>0</v>
      </c>
    </row>
    <row r="190" spans="3:3" x14ac:dyDescent="0.25">
      <c r="C190">
        <f t="shared" si="2"/>
        <v>0</v>
      </c>
    </row>
    <row r="191" spans="3:3" x14ac:dyDescent="0.25">
      <c r="C191">
        <f t="shared" si="2"/>
        <v>0</v>
      </c>
    </row>
    <row r="192" spans="3:3" x14ac:dyDescent="0.25">
      <c r="C192">
        <f t="shared" si="2"/>
        <v>0</v>
      </c>
    </row>
    <row r="193" spans="3:3" x14ac:dyDescent="0.25">
      <c r="C193">
        <f t="shared" si="2"/>
        <v>0</v>
      </c>
    </row>
    <row r="194" spans="3:3" x14ac:dyDescent="0.25">
      <c r="C194">
        <f t="shared" si="2"/>
        <v>0</v>
      </c>
    </row>
    <row r="195" spans="3:3" x14ac:dyDescent="0.25">
      <c r="C195">
        <f t="shared" ref="C195:C258" si="3">A195*B195</f>
        <v>0</v>
      </c>
    </row>
    <row r="196" spans="3:3" x14ac:dyDescent="0.25">
      <c r="C196">
        <f t="shared" si="3"/>
        <v>0</v>
      </c>
    </row>
    <row r="197" spans="3:3" x14ac:dyDescent="0.25">
      <c r="C197">
        <f t="shared" si="3"/>
        <v>0</v>
      </c>
    </row>
    <row r="198" spans="3:3" x14ac:dyDescent="0.25">
      <c r="C198">
        <f t="shared" si="3"/>
        <v>0</v>
      </c>
    </row>
    <row r="199" spans="3:3" x14ac:dyDescent="0.25">
      <c r="C199">
        <f t="shared" si="3"/>
        <v>0</v>
      </c>
    </row>
    <row r="200" spans="3:3" x14ac:dyDescent="0.25">
      <c r="C200">
        <f t="shared" si="3"/>
        <v>0</v>
      </c>
    </row>
    <row r="201" spans="3:3" x14ac:dyDescent="0.25">
      <c r="C201">
        <f t="shared" si="3"/>
        <v>0</v>
      </c>
    </row>
    <row r="202" spans="3:3" x14ac:dyDescent="0.25">
      <c r="C202">
        <f t="shared" si="3"/>
        <v>0</v>
      </c>
    </row>
    <row r="203" spans="3:3" x14ac:dyDescent="0.25">
      <c r="C203">
        <f t="shared" si="3"/>
        <v>0</v>
      </c>
    </row>
    <row r="204" spans="3:3" x14ac:dyDescent="0.25">
      <c r="C204">
        <f t="shared" si="3"/>
        <v>0</v>
      </c>
    </row>
    <row r="205" spans="3:3" x14ac:dyDescent="0.25">
      <c r="C205">
        <f t="shared" si="3"/>
        <v>0</v>
      </c>
    </row>
    <row r="206" spans="3:3" x14ac:dyDescent="0.25">
      <c r="C206">
        <f t="shared" si="3"/>
        <v>0</v>
      </c>
    </row>
    <row r="207" spans="3:3" x14ac:dyDescent="0.25">
      <c r="C207">
        <f t="shared" si="3"/>
        <v>0</v>
      </c>
    </row>
    <row r="208" spans="3:3" x14ac:dyDescent="0.25">
      <c r="C208">
        <f t="shared" si="3"/>
        <v>0</v>
      </c>
    </row>
    <row r="209" spans="3:3" x14ac:dyDescent="0.25">
      <c r="C209">
        <f t="shared" si="3"/>
        <v>0</v>
      </c>
    </row>
    <row r="210" spans="3:3" x14ac:dyDescent="0.25">
      <c r="C210">
        <f t="shared" si="3"/>
        <v>0</v>
      </c>
    </row>
    <row r="211" spans="3:3" x14ac:dyDescent="0.25">
      <c r="C211">
        <f t="shared" si="3"/>
        <v>0</v>
      </c>
    </row>
    <row r="212" spans="3:3" x14ac:dyDescent="0.25">
      <c r="C212">
        <f t="shared" si="3"/>
        <v>0</v>
      </c>
    </row>
    <row r="213" spans="3:3" x14ac:dyDescent="0.25">
      <c r="C213">
        <f t="shared" si="3"/>
        <v>0</v>
      </c>
    </row>
    <row r="214" spans="3:3" x14ac:dyDescent="0.25">
      <c r="C214">
        <f t="shared" si="3"/>
        <v>0</v>
      </c>
    </row>
    <row r="215" spans="3:3" x14ac:dyDescent="0.25">
      <c r="C215">
        <f t="shared" si="3"/>
        <v>0</v>
      </c>
    </row>
    <row r="216" spans="3:3" x14ac:dyDescent="0.25">
      <c r="C216">
        <f t="shared" si="3"/>
        <v>0</v>
      </c>
    </row>
    <row r="217" spans="3:3" x14ac:dyDescent="0.25">
      <c r="C217">
        <f t="shared" si="3"/>
        <v>0</v>
      </c>
    </row>
    <row r="218" spans="3:3" x14ac:dyDescent="0.25">
      <c r="C218">
        <f t="shared" si="3"/>
        <v>0</v>
      </c>
    </row>
    <row r="219" spans="3:3" x14ac:dyDescent="0.25">
      <c r="C219">
        <f t="shared" si="3"/>
        <v>0</v>
      </c>
    </row>
    <row r="220" spans="3:3" x14ac:dyDescent="0.25">
      <c r="C220">
        <f t="shared" si="3"/>
        <v>0</v>
      </c>
    </row>
    <row r="221" spans="3:3" x14ac:dyDescent="0.25">
      <c r="C221">
        <f t="shared" si="3"/>
        <v>0</v>
      </c>
    </row>
    <row r="222" spans="3:3" x14ac:dyDescent="0.25">
      <c r="C222">
        <f t="shared" si="3"/>
        <v>0</v>
      </c>
    </row>
    <row r="223" spans="3:3" x14ac:dyDescent="0.25">
      <c r="C223">
        <f t="shared" si="3"/>
        <v>0</v>
      </c>
    </row>
    <row r="224" spans="3:3" x14ac:dyDescent="0.25">
      <c r="C224">
        <f t="shared" si="3"/>
        <v>0</v>
      </c>
    </row>
    <row r="225" spans="3:3" x14ac:dyDescent="0.25">
      <c r="C225">
        <f t="shared" si="3"/>
        <v>0</v>
      </c>
    </row>
    <row r="226" spans="3:3" x14ac:dyDescent="0.25">
      <c r="C226">
        <f t="shared" si="3"/>
        <v>0</v>
      </c>
    </row>
    <row r="227" spans="3:3" x14ac:dyDescent="0.25">
      <c r="C227">
        <f t="shared" si="3"/>
        <v>0</v>
      </c>
    </row>
    <row r="228" spans="3:3" x14ac:dyDescent="0.25">
      <c r="C228">
        <f t="shared" si="3"/>
        <v>0</v>
      </c>
    </row>
    <row r="229" spans="3:3" x14ac:dyDescent="0.25">
      <c r="C229">
        <f t="shared" si="3"/>
        <v>0</v>
      </c>
    </row>
    <row r="230" spans="3:3" x14ac:dyDescent="0.25">
      <c r="C230">
        <f t="shared" si="3"/>
        <v>0</v>
      </c>
    </row>
    <row r="231" spans="3:3" x14ac:dyDescent="0.25">
      <c r="C231">
        <f t="shared" si="3"/>
        <v>0</v>
      </c>
    </row>
    <row r="232" spans="3:3" x14ac:dyDescent="0.25">
      <c r="C232">
        <f t="shared" si="3"/>
        <v>0</v>
      </c>
    </row>
    <row r="233" spans="3:3" x14ac:dyDescent="0.25">
      <c r="C233">
        <f t="shared" si="3"/>
        <v>0</v>
      </c>
    </row>
    <row r="234" spans="3:3" x14ac:dyDescent="0.25">
      <c r="C234">
        <f t="shared" si="3"/>
        <v>0</v>
      </c>
    </row>
    <row r="235" spans="3:3" x14ac:dyDescent="0.25">
      <c r="C235">
        <f t="shared" si="3"/>
        <v>0</v>
      </c>
    </row>
    <row r="236" spans="3:3" x14ac:dyDescent="0.25">
      <c r="C236">
        <f t="shared" si="3"/>
        <v>0</v>
      </c>
    </row>
    <row r="237" spans="3:3" x14ac:dyDescent="0.25">
      <c r="C237">
        <f t="shared" si="3"/>
        <v>0</v>
      </c>
    </row>
    <row r="238" spans="3:3" x14ac:dyDescent="0.25">
      <c r="C238">
        <f t="shared" si="3"/>
        <v>0</v>
      </c>
    </row>
    <row r="239" spans="3:3" x14ac:dyDescent="0.25">
      <c r="C239">
        <f t="shared" si="3"/>
        <v>0</v>
      </c>
    </row>
    <row r="240" spans="3:3" x14ac:dyDescent="0.25">
      <c r="C240">
        <f t="shared" si="3"/>
        <v>0</v>
      </c>
    </row>
    <row r="241" spans="3:3" x14ac:dyDescent="0.25">
      <c r="C241">
        <f t="shared" si="3"/>
        <v>0</v>
      </c>
    </row>
    <row r="242" spans="3:3" x14ac:dyDescent="0.25">
      <c r="C242">
        <f t="shared" si="3"/>
        <v>0</v>
      </c>
    </row>
    <row r="243" spans="3:3" x14ac:dyDescent="0.25">
      <c r="C243">
        <f t="shared" si="3"/>
        <v>0</v>
      </c>
    </row>
    <row r="244" spans="3:3" x14ac:dyDescent="0.25">
      <c r="C244">
        <f t="shared" si="3"/>
        <v>0</v>
      </c>
    </row>
    <row r="245" spans="3:3" x14ac:dyDescent="0.25">
      <c r="C245">
        <f t="shared" si="3"/>
        <v>0</v>
      </c>
    </row>
    <row r="246" spans="3:3" x14ac:dyDescent="0.25">
      <c r="C246">
        <f t="shared" si="3"/>
        <v>0</v>
      </c>
    </row>
    <row r="247" spans="3:3" x14ac:dyDescent="0.25">
      <c r="C247">
        <f t="shared" si="3"/>
        <v>0</v>
      </c>
    </row>
    <row r="248" spans="3:3" x14ac:dyDescent="0.25">
      <c r="C248">
        <f t="shared" si="3"/>
        <v>0</v>
      </c>
    </row>
    <row r="249" spans="3:3" x14ac:dyDescent="0.25">
      <c r="C249">
        <f t="shared" si="3"/>
        <v>0</v>
      </c>
    </row>
    <row r="250" spans="3:3" x14ac:dyDescent="0.25">
      <c r="C250">
        <f t="shared" si="3"/>
        <v>0</v>
      </c>
    </row>
    <row r="251" spans="3:3" x14ac:dyDescent="0.25">
      <c r="C251">
        <f t="shared" si="3"/>
        <v>0</v>
      </c>
    </row>
    <row r="252" spans="3:3" x14ac:dyDescent="0.25">
      <c r="C252">
        <f t="shared" si="3"/>
        <v>0</v>
      </c>
    </row>
    <row r="253" spans="3:3" x14ac:dyDescent="0.25">
      <c r="C253">
        <f t="shared" si="3"/>
        <v>0</v>
      </c>
    </row>
    <row r="254" spans="3:3" x14ac:dyDescent="0.25">
      <c r="C254">
        <f t="shared" si="3"/>
        <v>0</v>
      </c>
    </row>
    <row r="255" spans="3:3" x14ac:dyDescent="0.25">
      <c r="C255">
        <f t="shared" si="3"/>
        <v>0</v>
      </c>
    </row>
    <row r="256" spans="3:3" x14ac:dyDescent="0.25">
      <c r="C256">
        <f t="shared" si="3"/>
        <v>0</v>
      </c>
    </row>
    <row r="257" spans="3:3" x14ac:dyDescent="0.25">
      <c r="C257">
        <f t="shared" si="3"/>
        <v>0</v>
      </c>
    </row>
    <row r="258" spans="3:3" x14ac:dyDescent="0.25">
      <c r="C258">
        <f t="shared" si="3"/>
        <v>0</v>
      </c>
    </row>
    <row r="259" spans="3:3" x14ac:dyDescent="0.25">
      <c r="C259">
        <f t="shared" ref="C259:C322" si="4">A259*B259</f>
        <v>0</v>
      </c>
    </row>
    <row r="260" spans="3:3" x14ac:dyDescent="0.25">
      <c r="C260">
        <f t="shared" si="4"/>
        <v>0</v>
      </c>
    </row>
    <row r="261" spans="3:3" x14ac:dyDescent="0.25">
      <c r="C261">
        <f t="shared" si="4"/>
        <v>0</v>
      </c>
    </row>
    <row r="262" spans="3:3" x14ac:dyDescent="0.25">
      <c r="C262">
        <f t="shared" si="4"/>
        <v>0</v>
      </c>
    </row>
    <row r="263" spans="3:3" x14ac:dyDescent="0.25">
      <c r="C263">
        <f t="shared" si="4"/>
        <v>0</v>
      </c>
    </row>
    <row r="264" spans="3:3" x14ac:dyDescent="0.25">
      <c r="C264">
        <f t="shared" si="4"/>
        <v>0</v>
      </c>
    </row>
    <row r="265" spans="3:3" x14ac:dyDescent="0.25">
      <c r="C265">
        <f t="shared" si="4"/>
        <v>0</v>
      </c>
    </row>
    <row r="266" spans="3:3" x14ac:dyDescent="0.25">
      <c r="C266">
        <f t="shared" si="4"/>
        <v>0</v>
      </c>
    </row>
    <row r="267" spans="3:3" x14ac:dyDescent="0.25">
      <c r="C267">
        <f t="shared" si="4"/>
        <v>0</v>
      </c>
    </row>
    <row r="268" spans="3:3" x14ac:dyDescent="0.25">
      <c r="C268">
        <f t="shared" si="4"/>
        <v>0</v>
      </c>
    </row>
    <row r="269" spans="3:3" x14ac:dyDescent="0.25">
      <c r="C269">
        <f t="shared" si="4"/>
        <v>0</v>
      </c>
    </row>
    <row r="270" spans="3:3" x14ac:dyDescent="0.25">
      <c r="C270">
        <f t="shared" si="4"/>
        <v>0</v>
      </c>
    </row>
    <row r="271" spans="3:3" x14ac:dyDescent="0.25">
      <c r="C271">
        <f t="shared" si="4"/>
        <v>0</v>
      </c>
    </row>
    <row r="272" spans="3:3" x14ac:dyDescent="0.25">
      <c r="C272">
        <f t="shared" si="4"/>
        <v>0</v>
      </c>
    </row>
    <row r="273" spans="3:3" x14ac:dyDescent="0.25">
      <c r="C273">
        <f t="shared" si="4"/>
        <v>0</v>
      </c>
    </row>
    <row r="274" spans="3:3" x14ac:dyDescent="0.25">
      <c r="C274">
        <f t="shared" si="4"/>
        <v>0</v>
      </c>
    </row>
    <row r="275" spans="3:3" x14ac:dyDescent="0.25">
      <c r="C275">
        <f t="shared" si="4"/>
        <v>0</v>
      </c>
    </row>
    <row r="276" spans="3:3" x14ac:dyDescent="0.25">
      <c r="C276">
        <f t="shared" si="4"/>
        <v>0</v>
      </c>
    </row>
    <row r="277" spans="3:3" x14ac:dyDescent="0.25">
      <c r="C277">
        <f t="shared" si="4"/>
        <v>0</v>
      </c>
    </row>
    <row r="278" spans="3:3" x14ac:dyDescent="0.25">
      <c r="C278">
        <f t="shared" si="4"/>
        <v>0</v>
      </c>
    </row>
    <row r="279" spans="3:3" x14ac:dyDescent="0.25">
      <c r="C279">
        <f t="shared" si="4"/>
        <v>0</v>
      </c>
    </row>
    <row r="280" spans="3:3" x14ac:dyDescent="0.25">
      <c r="C280">
        <f t="shared" si="4"/>
        <v>0</v>
      </c>
    </row>
    <row r="281" spans="3:3" x14ac:dyDescent="0.25">
      <c r="C281">
        <f t="shared" si="4"/>
        <v>0</v>
      </c>
    </row>
    <row r="282" spans="3:3" x14ac:dyDescent="0.25">
      <c r="C282">
        <f t="shared" si="4"/>
        <v>0</v>
      </c>
    </row>
    <row r="283" spans="3:3" x14ac:dyDescent="0.25">
      <c r="C283">
        <f t="shared" si="4"/>
        <v>0</v>
      </c>
    </row>
    <row r="284" spans="3:3" x14ac:dyDescent="0.25">
      <c r="C284">
        <f t="shared" si="4"/>
        <v>0</v>
      </c>
    </row>
    <row r="285" spans="3:3" x14ac:dyDescent="0.25">
      <c r="C285">
        <f t="shared" si="4"/>
        <v>0</v>
      </c>
    </row>
    <row r="286" spans="3:3" x14ac:dyDescent="0.25">
      <c r="C286">
        <f t="shared" si="4"/>
        <v>0</v>
      </c>
    </row>
    <row r="287" spans="3:3" x14ac:dyDescent="0.25">
      <c r="C287">
        <f t="shared" si="4"/>
        <v>0</v>
      </c>
    </row>
    <row r="288" spans="3:3" x14ac:dyDescent="0.25">
      <c r="C288">
        <f t="shared" si="4"/>
        <v>0</v>
      </c>
    </row>
    <row r="289" spans="3:3" x14ac:dyDescent="0.25">
      <c r="C289">
        <f t="shared" si="4"/>
        <v>0</v>
      </c>
    </row>
    <row r="290" spans="3:3" x14ac:dyDescent="0.25">
      <c r="C290">
        <f t="shared" si="4"/>
        <v>0</v>
      </c>
    </row>
    <row r="291" spans="3:3" x14ac:dyDescent="0.25">
      <c r="C291">
        <f t="shared" si="4"/>
        <v>0</v>
      </c>
    </row>
    <row r="292" spans="3:3" x14ac:dyDescent="0.25">
      <c r="C292">
        <f t="shared" si="4"/>
        <v>0</v>
      </c>
    </row>
    <row r="293" spans="3:3" x14ac:dyDescent="0.25">
      <c r="C293">
        <f t="shared" si="4"/>
        <v>0</v>
      </c>
    </row>
    <row r="294" spans="3:3" x14ac:dyDescent="0.25">
      <c r="C294">
        <f t="shared" si="4"/>
        <v>0</v>
      </c>
    </row>
    <row r="295" spans="3:3" x14ac:dyDescent="0.25">
      <c r="C295">
        <f t="shared" si="4"/>
        <v>0</v>
      </c>
    </row>
    <row r="296" spans="3:3" x14ac:dyDescent="0.25">
      <c r="C296">
        <f t="shared" si="4"/>
        <v>0</v>
      </c>
    </row>
    <row r="297" spans="3:3" x14ac:dyDescent="0.25">
      <c r="C297">
        <f t="shared" si="4"/>
        <v>0</v>
      </c>
    </row>
    <row r="298" spans="3:3" x14ac:dyDescent="0.25">
      <c r="C298">
        <f t="shared" si="4"/>
        <v>0</v>
      </c>
    </row>
    <row r="299" spans="3:3" x14ac:dyDescent="0.25">
      <c r="C299">
        <f t="shared" si="4"/>
        <v>0</v>
      </c>
    </row>
    <row r="300" spans="3:3" x14ac:dyDescent="0.25">
      <c r="C300">
        <f t="shared" si="4"/>
        <v>0</v>
      </c>
    </row>
    <row r="301" spans="3:3" x14ac:dyDescent="0.25">
      <c r="C301">
        <f t="shared" si="4"/>
        <v>0</v>
      </c>
    </row>
    <row r="302" spans="3:3" x14ac:dyDescent="0.25">
      <c r="C302">
        <f t="shared" si="4"/>
        <v>0</v>
      </c>
    </row>
    <row r="303" spans="3:3" x14ac:dyDescent="0.25">
      <c r="C303">
        <f t="shared" si="4"/>
        <v>0</v>
      </c>
    </row>
    <row r="304" spans="3:3" x14ac:dyDescent="0.25">
      <c r="C304">
        <f t="shared" si="4"/>
        <v>0</v>
      </c>
    </row>
    <row r="305" spans="3:3" x14ac:dyDescent="0.25">
      <c r="C305">
        <f t="shared" si="4"/>
        <v>0</v>
      </c>
    </row>
    <row r="306" spans="3:3" x14ac:dyDescent="0.25">
      <c r="C306">
        <f t="shared" si="4"/>
        <v>0</v>
      </c>
    </row>
    <row r="307" spans="3:3" x14ac:dyDescent="0.25">
      <c r="C307">
        <f t="shared" si="4"/>
        <v>0</v>
      </c>
    </row>
    <row r="308" spans="3:3" x14ac:dyDescent="0.25">
      <c r="C308">
        <f t="shared" si="4"/>
        <v>0</v>
      </c>
    </row>
    <row r="309" spans="3:3" x14ac:dyDescent="0.25">
      <c r="C309">
        <f t="shared" si="4"/>
        <v>0</v>
      </c>
    </row>
    <row r="310" spans="3:3" x14ac:dyDescent="0.25">
      <c r="C310">
        <f t="shared" si="4"/>
        <v>0</v>
      </c>
    </row>
    <row r="311" spans="3:3" x14ac:dyDescent="0.25">
      <c r="C311">
        <f t="shared" si="4"/>
        <v>0</v>
      </c>
    </row>
    <row r="312" spans="3:3" x14ac:dyDescent="0.25">
      <c r="C312">
        <f t="shared" si="4"/>
        <v>0</v>
      </c>
    </row>
    <row r="313" spans="3:3" x14ac:dyDescent="0.25">
      <c r="C313">
        <f t="shared" si="4"/>
        <v>0</v>
      </c>
    </row>
    <row r="314" spans="3:3" x14ac:dyDescent="0.25">
      <c r="C314">
        <f t="shared" si="4"/>
        <v>0</v>
      </c>
    </row>
    <row r="315" spans="3:3" x14ac:dyDescent="0.25">
      <c r="C315">
        <f t="shared" si="4"/>
        <v>0</v>
      </c>
    </row>
    <row r="316" spans="3:3" x14ac:dyDescent="0.25">
      <c r="C316">
        <f t="shared" si="4"/>
        <v>0</v>
      </c>
    </row>
    <row r="317" spans="3:3" x14ac:dyDescent="0.25">
      <c r="C317">
        <f t="shared" si="4"/>
        <v>0</v>
      </c>
    </row>
    <row r="318" spans="3:3" x14ac:dyDescent="0.25">
      <c r="C318">
        <f t="shared" si="4"/>
        <v>0</v>
      </c>
    </row>
    <row r="319" spans="3:3" x14ac:dyDescent="0.25">
      <c r="C319">
        <f t="shared" si="4"/>
        <v>0</v>
      </c>
    </row>
    <row r="320" spans="3:3" x14ac:dyDescent="0.25">
      <c r="C320">
        <f t="shared" si="4"/>
        <v>0</v>
      </c>
    </row>
    <row r="321" spans="3:3" x14ac:dyDescent="0.25">
      <c r="C321">
        <f t="shared" si="4"/>
        <v>0</v>
      </c>
    </row>
    <row r="322" spans="3:3" x14ac:dyDescent="0.25">
      <c r="C322">
        <f t="shared" si="4"/>
        <v>0</v>
      </c>
    </row>
    <row r="323" spans="3:3" x14ac:dyDescent="0.25">
      <c r="C323">
        <f t="shared" ref="C323:C386" si="5">A323*B323</f>
        <v>0</v>
      </c>
    </row>
    <row r="324" spans="3:3" x14ac:dyDescent="0.25">
      <c r="C324">
        <f t="shared" si="5"/>
        <v>0</v>
      </c>
    </row>
    <row r="325" spans="3:3" x14ac:dyDescent="0.25">
      <c r="C325">
        <f t="shared" si="5"/>
        <v>0</v>
      </c>
    </row>
    <row r="326" spans="3:3" x14ac:dyDescent="0.25">
      <c r="C326">
        <f t="shared" si="5"/>
        <v>0</v>
      </c>
    </row>
    <row r="327" spans="3:3" x14ac:dyDescent="0.25">
      <c r="C327">
        <f t="shared" si="5"/>
        <v>0</v>
      </c>
    </row>
    <row r="328" spans="3:3" x14ac:dyDescent="0.25">
      <c r="C328">
        <f t="shared" si="5"/>
        <v>0</v>
      </c>
    </row>
    <row r="329" spans="3:3" x14ac:dyDescent="0.25">
      <c r="C329">
        <f t="shared" si="5"/>
        <v>0</v>
      </c>
    </row>
    <row r="330" spans="3:3" x14ac:dyDescent="0.25">
      <c r="C330">
        <f t="shared" si="5"/>
        <v>0</v>
      </c>
    </row>
    <row r="331" spans="3:3" x14ac:dyDescent="0.25">
      <c r="C331">
        <f t="shared" si="5"/>
        <v>0</v>
      </c>
    </row>
    <row r="332" spans="3:3" x14ac:dyDescent="0.25">
      <c r="C332">
        <f t="shared" si="5"/>
        <v>0</v>
      </c>
    </row>
    <row r="333" spans="3:3" x14ac:dyDescent="0.25">
      <c r="C333">
        <f t="shared" si="5"/>
        <v>0</v>
      </c>
    </row>
    <row r="334" spans="3:3" x14ac:dyDescent="0.25">
      <c r="C334">
        <f t="shared" si="5"/>
        <v>0</v>
      </c>
    </row>
    <row r="335" spans="3:3" x14ac:dyDescent="0.25">
      <c r="C335">
        <f t="shared" si="5"/>
        <v>0</v>
      </c>
    </row>
    <row r="336" spans="3:3" x14ac:dyDescent="0.25">
      <c r="C336">
        <f t="shared" si="5"/>
        <v>0</v>
      </c>
    </row>
    <row r="337" spans="3:3" x14ac:dyDescent="0.25">
      <c r="C337">
        <f t="shared" si="5"/>
        <v>0</v>
      </c>
    </row>
    <row r="338" spans="3:3" x14ac:dyDescent="0.25">
      <c r="C338">
        <f t="shared" si="5"/>
        <v>0</v>
      </c>
    </row>
    <row r="339" spans="3:3" x14ac:dyDescent="0.25">
      <c r="C339">
        <f t="shared" si="5"/>
        <v>0</v>
      </c>
    </row>
    <row r="340" spans="3:3" x14ac:dyDescent="0.25">
      <c r="C340">
        <f t="shared" si="5"/>
        <v>0</v>
      </c>
    </row>
    <row r="341" spans="3:3" x14ac:dyDescent="0.25">
      <c r="C341">
        <f t="shared" si="5"/>
        <v>0</v>
      </c>
    </row>
    <row r="342" spans="3:3" x14ac:dyDescent="0.25">
      <c r="C342">
        <f t="shared" si="5"/>
        <v>0</v>
      </c>
    </row>
    <row r="343" spans="3:3" x14ac:dyDescent="0.25">
      <c r="C343">
        <f t="shared" si="5"/>
        <v>0</v>
      </c>
    </row>
    <row r="344" spans="3:3" x14ac:dyDescent="0.25">
      <c r="C344">
        <f t="shared" si="5"/>
        <v>0</v>
      </c>
    </row>
    <row r="345" spans="3:3" x14ac:dyDescent="0.25">
      <c r="C345">
        <f t="shared" si="5"/>
        <v>0</v>
      </c>
    </row>
    <row r="346" spans="3:3" x14ac:dyDescent="0.25">
      <c r="C346">
        <f t="shared" si="5"/>
        <v>0</v>
      </c>
    </row>
    <row r="347" spans="3:3" x14ac:dyDescent="0.25">
      <c r="C347">
        <f t="shared" si="5"/>
        <v>0</v>
      </c>
    </row>
    <row r="348" spans="3:3" x14ac:dyDescent="0.25">
      <c r="C348">
        <f t="shared" si="5"/>
        <v>0</v>
      </c>
    </row>
    <row r="349" spans="3:3" x14ac:dyDescent="0.25">
      <c r="C349">
        <f t="shared" si="5"/>
        <v>0</v>
      </c>
    </row>
    <row r="350" spans="3:3" x14ac:dyDescent="0.25">
      <c r="C350">
        <f t="shared" si="5"/>
        <v>0</v>
      </c>
    </row>
    <row r="351" spans="3:3" x14ac:dyDescent="0.25">
      <c r="C351">
        <f t="shared" si="5"/>
        <v>0</v>
      </c>
    </row>
    <row r="352" spans="3:3" x14ac:dyDescent="0.25">
      <c r="C352">
        <f t="shared" si="5"/>
        <v>0</v>
      </c>
    </row>
    <row r="353" spans="3:3" x14ac:dyDescent="0.25">
      <c r="C353">
        <f t="shared" si="5"/>
        <v>0</v>
      </c>
    </row>
    <row r="354" spans="3:3" x14ac:dyDescent="0.25">
      <c r="C354">
        <f t="shared" si="5"/>
        <v>0</v>
      </c>
    </row>
    <row r="355" spans="3:3" x14ac:dyDescent="0.25">
      <c r="C355">
        <f t="shared" si="5"/>
        <v>0</v>
      </c>
    </row>
    <row r="356" spans="3:3" x14ac:dyDescent="0.25">
      <c r="C356">
        <f t="shared" si="5"/>
        <v>0</v>
      </c>
    </row>
    <row r="357" spans="3:3" x14ac:dyDescent="0.25">
      <c r="C357">
        <f t="shared" si="5"/>
        <v>0</v>
      </c>
    </row>
    <row r="358" spans="3:3" x14ac:dyDescent="0.25">
      <c r="C358">
        <f t="shared" si="5"/>
        <v>0</v>
      </c>
    </row>
    <row r="359" spans="3:3" x14ac:dyDescent="0.25">
      <c r="C359">
        <f t="shared" si="5"/>
        <v>0</v>
      </c>
    </row>
    <row r="360" spans="3:3" x14ac:dyDescent="0.25">
      <c r="C360">
        <f t="shared" si="5"/>
        <v>0</v>
      </c>
    </row>
    <row r="361" spans="3:3" x14ac:dyDescent="0.25">
      <c r="C361">
        <f t="shared" si="5"/>
        <v>0</v>
      </c>
    </row>
    <row r="362" spans="3:3" x14ac:dyDescent="0.25">
      <c r="C362">
        <f t="shared" si="5"/>
        <v>0</v>
      </c>
    </row>
    <row r="363" spans="3:3" x14ac:dyDescent="0.25">
      <c r="C363">
        <f t="shared" si="5"/>
        <v>0</v>
      </c>
    </row>
    <row r="364" spans="3:3" x14ac:dyDescent="0.25">
      <c r="C364">
        <f t="shared" si="5"/>
        <v>0</v>
      </c>
    </row>
    <row r="365" spans="3:3" x14ac:dyDescent="0.25">
      <c r="C365">
        <f t="shared" si="5"/>
        <v>0</v>
      </c>
    </row>
    <row r="366" spans="3:3" x14ac:dyDescent="0.25">
      <c r="C366">
        <f t="shared" si="5"/>
        <v>0</v>
      </c>
    </row>
    <row r="367" spans="3:3" x14ac:dyDescent="0.25">
      <c r="C367">
        <f t="shared" si="5"/>
        <v>0</v>
      </c>
    </row>
    <row r="368" spans="3:3" x14ac:dyDescent="0.25">
      <c r="C368">
        <f t="shared" si="5"/>
        <v>0</v>
      </c>
    </row>
    <row r="369" spans="3:3" x14ac:dyDescent="0.25">
      <c r="C369">
        <f t="shared" si="5"/>
        <v>0</v>
      </c>
    </row>
    <row r="370" spans="3:3" x14ac:dyDescent="0.25">
      <c r="C370">
        <f t="shared" si="5"/>
        <v>0</v>
      </c>
    </row>
    <row r="371" spans="3:3" x14ac:dyDescent="0.25">
      <c r="C371">
        <f t="shared" si="5"/>
        <v>0</v>
      </c>
    </row>
    <row r="372" spans="3:3" x14ac:dyDescent="0.25">
      <c r="C372">
        <f t="shared" si="5"/>
        <v>0</v>
      </c>
    </row>
    <row r="373" spans="3:3" x14ac:dyDescent="0.25">
      <c r="C373">
        <f t="shared" si="5"/>
        <v>0</v>
      </c>
    </row>
    <row r="374" spans="3:3" x14ac:dyDescent="0.25">
      <c r="C374">
        <f t="shared" si="5"/>
        <v>0</v>
      </c>
    </row>
    <row r="375" spans="3:3" x14ac:dyDescent="0.25">
      <c r="C375">
        <f t="shared" si="5"/>
        <v>0</v>
      </c>
    </row>
    <row r="376" spans="3:3" x14ac:dyDescent="0.25">
      <c r="C376">
        <f t="shared" si="5"/>
        <v>0</v>
      </c>
    </row>
    <row r="377" spans="3:3" x14ac:dyDescent="0.25">
      <c r="C377">
        <f t="shared" si="5"/>
        <v>0</v>
      </c>
    </row>
    <row r="378" spans="3:3" x14ac:dyDescent="0.25">
      <c r="C378">
        <f t="shared" si="5"/>
        <v>0</v>
      </c>
    </row>
    <row r="379" spans="3:3" x14ac:dyDescent="0.25">
      <c r="C379">
        <f t="shared" si="5"/>
        <v>0</v>
      </c>
    </row>
    <row r="380" spans="3:3" x14ac:dyDescent="0.25">
      <c r="C380">
        <f t="shared" si="5"/>
        <v>0</v>
      </c>
    </row>
    <row r="381" spans="3:3" x14ac:dyDescent="0.25">
      <c r="C381">
        <f t="shared" si="5"/>
        <v>0</v>
      </c>
    </row>
    <row r="382" spans="3:3" x14ac:dyDescent="0.25">
      <c r="C382">
        <f t="shared" si="5"/>
        <v>0</v>
      </c>
    </row>
    <row r="383" spans="3:3" x14ac:dyDescent="0.25">
      <c r="C383">
        <f t="shared" si="5"/>
        <v>0</v>
      </c>
    </row>
    <row r="384" spans="3:3" x14ac:dyDescent="0.25">
      <c r="C384">
        <f t="shared" si="5"/>
        <v>0</v>
      </c>
    </row>
    <row r="385" spans="3:3" x14ac:dyDescent="0.25">
      <c r="C385">
        <f t="shared" si="5"/>
        <v>0</v>
      </c>
    </row>
    <row r="386" spans="3:3" x14ac:dyDescent="0.25">
      <c r="C386">
        <f t="shared" si="5"/>
        <v>0</v>
      </c>
    </row>
    <row r="387" spans="3:3" x14ac:dyDescent="0.25">
      <c r="C387">
        <f t="shared" ref="C387:C408" si="6">A387*B387</f>
        <v>0</v>
      </c>
    </row>
    <row r="388" spans="3:3" x14ac:dyDescent="0.25">
      <c r="C388">
        <f t="shared" si="6"/>
        <v>0</v>
      </c>
    </row>
    <row r="389" spans="3:3" x14ac:dyDescent="0.25">
      <c r="C389">
        <f t="shared" si="6"/>
        <v>0</v>
      </c>
    </row>
    <row r="390" spans="3:3" x14ac:dyDescent="0.25">
      <c r="C390">
        <f t="shared" si="6"/>
        <v>0</v>
      </c>
    </row>
    <row r="391" spans="3:3" x14ac:dyDescent="0.25">
      <c r="C391">
        <f t="shared" si="6"/>
        <v>0</v>
      </c>
    </row>
    <row r="392" spans="3:3" x14ac:dyDescent="0.25">
      <c r="C392">
        <f t="shared" si="6"/>
        <v>0</v>
      </c>
    </row>
    <row r="393" spans="3:3" x14ac:dyDescent="0.25">
      <c r="C393">
        <f t="shared" si="6"/>
        <v>0</v>
      </c>
    </row>
    <row r="394" spans="3:3" x14ac:dyDescent="0.25">
      <c r="C394">
        <f t="shared" si="6"/>
        <v>0</v>
      </c>
    </row>
    <row r="395" spans="3:3" x14ac:dyDescent="0.25">
      <c r="C395">
        <f t="shared" si="6"/>
        <v>0</v>
      </c>
    </row>
    <row r="396" spans="3:3" x14ac:dyDescent="0.25">
      <c r="C396">
        <f t="shared" si="6"/>
        <v>0</v>
      </c>
    </row>
    <row r="397" spans="3:3" x14ac:dyDescent="0.25">
      <c r="C397">
        <f t="shared" si="6"/>
        <v>0</v>
      </c>
    </row>
    <row r="398" spans="3:3" x14ac:dyDescent="0.25">
      <c r="C398">
        <f t="shared" si="6"/>
        <v>0</v>
      </c>
    </row>
    <row r="399" spans="3:3" x14ac:dyDescent="0.25">
      <c r="C399">
        <f t="shared" si="6"/>
        <v>0</v>
      </c>
    </row>
    <row r="400" spans="3:3" x14ac:dyDescent="0.25">
      <c r="C400">
        <f t="shared" si="6"/>
        <v>0</v>
      </c>
    </row>
    <row r="401" spans="3:3" x14ac:dyDescent="0.25">
      <c r="C401">
        <f t="shared" si="6"/>
        <v>0</v>
      </c>
    </row>
    <row r="402" spans="3:3" x14ac:dyDescent="0.25">
      <c r="C402">
        <f t="shared" si="6"/>
        <v>0</v>
      </c>
    </row>
    <row r="403" spans="3:3" x14ac:dyDescent="0.25">
      <c r="C403">
        <f t="shared" si="6"/>
        <v>0</v>
      </c>
    </row>
    <row r="404" spans="3:3" x14ac:dyDescent="0.25">
      <c r="C404">
        <f t="shared" si="6"/>
        <v>0</v>
      </c>
    </row>
    <row r="405" spans="3:3" x14ac:dyDescent="0.25">
      <c r="C405">
        <f t="shared" si="6"/>
        <v>0</v>
      </c>
    </row>
    <row r="406" spans="3:3" x14ac:dyDescent="0.25">
      <c r="C406">
        <f t="shared" si="6"/>
        <v>0</v>
      </c>
    </row>
    <row r="407" spans="3:3" x14ac:dyDescent="0.25">
      <c r="C407">
        <f t="shared" si="6"/>
        <v>0</v>
      </c>
    </row>
    <row r="408" spans="3:3" x14ac:dyDescent="0.25">
      <c r="C408">
        <f t="shared" si="6"/>
        <v>0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AE581-0585-4D02-A72B-6AEF53AC3A19}">
  <sheetPr codeName="CO2_MATERIAL_TABLE"/>
  <dimension ref="A1:J4"/>
  <sheetViews>
    <sheetView workbookViewId="0">
      <selection activeCell="K10" sqref="K10"/>
    </sheetView>
  </sheetViews>
  <sheetFormatPr defaultRowHeight="13.2" x14ac:dyDescent="0.25"/>
  <cols>
    <col min="1" max="1" width="17.5546875" customWidth="1"/>
    <col min="2" max="2" width="23.5546875" customWidth="1"/>
    <col min="3" max="3" width="12" bestFit="1" customWidth="1"/>
    <col min="5" max="9" width="9.109375" style="25"/>
  </cols>
  <sheetData>
    <row r="1" spans="1:10" x14ac:dyDescent="0.25">
      <c r="A1" s="29" t="s">
        <v>90</v>
      </c>
      <c r="B1" s="29" t="s">
        <v>143</v>
      </c>
      <c r="C1" s="29" t="s">
        <v>151</v>
      </c>
      <c r="D1" s="29" t="s">
        <v>158</v>
      </c>
      <c r="E1" s="32" t="s">
        <v>152</v>
      </c>
      <c r="F1" s="32" t="s">
        <v>153</v>
      </c>
      <c r="G1" s="32" t="s">
        <v>154</v>
      </c>
      <c r="H1" s="27" t="s">
        <v>155</v>
      </c>
      <c r="I1" s="27" t="s">
        <v>156</v>
      </c>
      <c r="J1" s="33" t="s">
        <v>157</v>
      </c>
    </row>
    <row r="2" spans="1:10" x14ac:dyDescent="0.25">
      <c r="A2" t="s">
        <v>1036</v>
      </c>
      <c r="B2" t="s">
        <v>159</v>
      </c>
      <c r="D2" t="b">
        <v>0</v>
      </c>
      <c r="E2" s="25">
        <v>6967.6976899608726</v>
      </c>
      <c r="F2" s="25">
        <v>14.629517460342269</v>
      </c>
      <c r="I2" s="25">
        <v>14.629517460342269</v>
      </c>
      <c r="J2" t="s">
        <v>153</v>
      </c>
    </row>
    <row r="3" spans="1:10" x14ac:dyDescent="0.25">
      <c r="A3" t="s">
        <v>1037</v>
      </c>
      <c r="B3" t="s">
        <v>1039</v>
      </c>
      <c r="D3" t="b">
        <v>0</v>
      </c>
      <c r="E3" s="25">
        <v>146.55570688000029</v>
      </c>
      <c r="I3" s="25">
        <v>146.55570688000029</v>
      </c>
      <c r="J3" t="s">
        <v>152</v>
      </c>
    </row>
    <row r="4" spans="1:10" x14ac:dyDescent="0.25">
      <c r="A4" t="s">
        <v>1038</v>
      </c>
      <c r="B4" t="s">
        <v>1040</v>
      </c>
      <c r="D4" t="b">
        <v>0</v>
      </c>
      <c r="E4" s="25">
        <v>2332.3509185939106</v>
      </c>
      <c r="F4" s="25">
        <v>6.9970527557817297</v>
      </c>
      <c r="G4" s="25">
        <v>233.23509185939108</v>
      </c>
      <c r="I4" s="25">
        <v>233.23509185939108</v>
      </c>
      <c r="J4" t="s">
        <v>154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afdad70-02f6-4344-8778-072e4d8d55d0" xsi:nil="true"/>
    <lcf76f155ced4ddcb4097134ff3c332f xmlns="3d0cb6f1-7479-4a52-b490-04511280c04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171881C87C6C4DA918437F3EDE4E2C" ma:contentTypeVersion="17" ma:contentTypeDescription="Create a new document." ma:contentTypeScope="" ma:versionID="931e43d4f60895aa5d2cbb326a551bfe">
  <xsd:schema xmlns:xsd="http://www.w3.org/2001/XMLSchema" xmlns:xs="http://www.w3.org/2001/XMLSchema" xmlns:p="http://schemas.microsoft.com/office/2006/metadata/properties" xmlns:ns2="3d0cb6f1-7479-4a52-b490-04511280c04b" xmlns:ns3="5afdad70-02f6-4344-8778-072e4d8d55d0" targetNamespace="http://schemas.microsoft.com/office/2006/metadata/properties" ma:root="true" ma:fieldsID="e3aa04f7dbf774e8621a9abf0c59eac4" ns2:_="" ns3:_="">
    <xsd:import namespace="3d0cb6f1-7479-4a52-b490-04511280c04b"/>
    <xsd:import namespace="5afdad70-02f6-4344-8778-072e4d8d55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0cb6f1-7479-4a52-b490-04511280c04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a16919e-4a4b-40a6-819a-0ebef7233ff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fdad70-02f6-4344-8778-072e4d8d55d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7ffe7f32-3be1-465e-9ca4-97e75f84173a}" ma:internalName="TaxCatchAll" ma:showField="CatchAllData" ma:web="5afdad70-02f6-4344-8778-072e4d8d55d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F85868-E433-4CFD-91A2-76422BDC6729}">
  <ds:schemaRefs>
    <ds:schemaRef ds:uri="http://schemas.microsoft.com/office/2006/metadata/properties"/>
    <ds:schemaRef ds:uri="http://schemas.microsoft.com/office/infopath/2007/PartnerControls"/>
    <ds:schemaRef ds:uri="5afdad70-02f6-4344-8778-072e4d8d55d0"/>
    <ds:schemaRef ds:uri="3d0cb6f1-7479-4a52-b490-04511280c04b"/>
  </ds:schemaRefs>
</ds:datastoreItem>
</file>

<file path=customXml/itemProps2.xml><?xml version="1.0" encoding="utf-8"?>
<ds:datastoreItem xmlns:ds="http://schemas.openxmlformats.org/officeDocument/2006/customXml" ds:itemID="{371B208F-C212-4057-8A68-89C6B641C6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5ED293-3459-4871-A186-67E5F8B758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0cb6f1-7479-4a52-b490-04511280c04b"/>
    <ds:schemaRef ds:uri="5afdad70-02f6-4344-8778-072e4d8d55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a54f3080-1c57-4968-943a-9928cb641438}" enabled="1" method="Privileged" siteId="{ff0084b1-36df-4166-bb9a-b442f142d6ee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308</vt:i4>
      </vt:variant>
    </vt:vector>
  </HeadingPairs>
  <TitlesOfParts>
    <vt:vector size="329" baseType="lpstr">
      <vt:lpstr>General Data</vt:lpstr>
      <vt:lpstr>Framing Zones</vt:lpstr>
      <vt:lpstr>Frames</vt:lpstr>
      <vt:lpstr>Manufacture frames</vt:lpstr>
      <vt:lpstr>Timber</vt:lpstr>
      <vt:lpstr>Cladding</vt:lpstr>
      <vt:lpstr>Boards</vt:lpstr>
      <vt:lpstr>Connector Plates</vt:lpstr>
      <vt:lpstr>Posi Struts</vt:lpstr>
      <vt:lpstr>Metalwork</vt:lpstr>
      <vt:lpstr>Bracing</vt:lpstr>
      <vt:lpstr>Walls</vt:lpstr>
      <vt:lpstr>Surfaces</vt:lpstr>
      <vt:lpstr>Attic Rooms</vt:lpstr>
      <vt:lpstr>Roofing Data</vt:lpstr>
      <vt:lpstr>Sundry Items</vt:lpstr>
      <vt:lpstr>Fasteners</vt:lpstr>
      <vt:lpstr>Doors and Windows</vt:lpstr>
      <vt:lpstr>Decking</vt:lpstr>
      <vt:lpstr>Sheeting</vt:lpstr>
      <vt:lpstr>CO2 material</vt:lpstr>
      <vt:lpstr>ALTITUDE</vt:lpstr>
      <vt:lpstr>ATTIC_ROOMS_TABLE</vt:lpstr>
      <vt:lpstr>ATTIC_ROOMS_TABLE_AREA</vt:lpstr>
      <vt:lpstr>ATTIC_ROOMS_TABLE_CONCRETE_FLOOR</vt:lpstr>
      <vt:lpstr>ATTIC_ROOMS_TABLE_HEIGHT</vt:lpstr>
      <vt:lpstr>ATTIC_ROOMS_TABLE_LIVING_AREA</vt:lpstr>
      <vt:lpstr>ATTIC_ROOMS_TABLE_NAME</vt:lpstr>
      <vt:lpstr>BOARDS_TABLE</vt:lpstr>
      <vt:lpstr>BOARDS_TABLE_BOARD_NAME</vt:lpstr>
      <vt:lpstr>BOARDS_TABLE_LENGTH</vt:lpstr>
      <vt:lpstr>BOARDS_TABLE_PRICE</vt:lpstr>
      <vt:lpstr>BOARDS_TABLE_PRODUCT_CODE</vt:lpstr>
      <vt:lpstr>BOARDS_TABLE_QUANTITY</vt:lpstr>
      <vt:lpstr>BOARDS_TABLE_THICKNESS</vt:lpstr>
      <vt:lpstr>BOARDS_TABLE_TYPE</vt:lpstr>
      <vt:lpstr>BOARDS_TABLE_WEIGHT</vt:lpstr>
      <vt:lpstr>BOARDS_TABLE_WIDTH</vt:lpstr>
      <vt:lpstr>BRACING_TABLE</vt:lpstr>
      <vt:lpstr>BRACING_TABLE_DEPTH</vt:lpstr>
      <vt:lpstr>BRACING_TABLE_GRADE</vt:lpstr>
      <vt:lpstr>BRACING_TABLE_LENGTH</vt:lpstr>
      <vt:lpstr>BRACING_TABLE_MATERIAL_NAME</vt:lpstr>
      <vt:lpstr>BRACING_TABLE_NAME</vt:lpstr>
      <vt:lpstr>BRACING_TABLE_PRICE_M3</vt:lpstr>
      <vt:lpstr>BRACING_TABLE_QUOTE_GROUP</vt:lpstr>
      <vt:lpstr>BRACING_TABLE_STOCK_LENGTH</vt:lpstr>
      <vt:lpstr>BRACING_TABLE_THICKNESS</vt:lpstr>
      <vt:lpstr>BRACING_TABLE_TYPE</vt:lpstr>
      <vt:lpstr>CLADDING_TABLE</vt:lpstr>
      <vt:lpstr>CLADDING_TABLE_FRAME</vt:lpstr>
      <vt:lpstr>CLADDING_TABLE_LENGTH</vt:lpstr>
      <vt:lpstr>CLADDING_TABLE_NAME</vt:lpstr>
      <vt:lpstr>CLADDING_TABLE_PRICE</vt:lpstr>
      <vt:lpstr>CLADDING_TABLE_PRODUCT_CODE</vt:lpstr>
      <vt:lpstr>CLADDING_TABLE_QUANTITY</vt:lpstr>
      <vt:lpstr>CLADDING_TABLE_THICKNESS</vt:lpstr>
      <vt:lpstr>CLADDING_TABLE_WEIGHT</vt:lpstr>
      <vt:lpstr>CLADDING_TABLE_WIDTH</vt:lpstr>
      <vt:lpstr>CO2_MATERIAL_TABLE</vt:lpstr>
      <vt:lpstr>CO2_MATERIAL_TABLE_AREA</vt:lpstr>
      <vt:lpstr>CO2_MATERIAL_TABLE_ID</vt:lpstr>
      <vt:lpstr>CO2_MATERIAL_TABLE_LENGTH</vt:lpstr>
      <vt:lpstr>CO2_MATERIAL_TABLE_MASS</vt:lpstr>
      <vt:lpstr>CO2_MATERIAL_TABLE_MATERIAL</vt:lpstr>
      <vt:lpstr>CO2_MATERIAL_TABLE_RESULTVALUE</vt:lpstr>
      <vt:lpstr>CO2_MATERIAL_TABLE_SITEFIXED</vt:lpstr>
      <vt:lpstr>CO2_MATERIAL_TABLE_SUBCATEGORY</vt:lpstr>
      <vt:lpstr>CO2_MATERIAL_TABLE_UNIT</vt:lpstr>
      <vt:lpstr>CO2_MATERIAL_TABLE_VOLUME</vt:lpstr>
      <vt:lpstr>CONNECTORS_TABLE</vt:lpstr>
      <vt:lpstr>CONNECTORS_TABLE_COUNT</vt:lpstr>
      <vt:lpstr>CONNECTORS_TABLE_COUNT_PER_PLY</vt:lpstr>
      <vt:lpstr>CONNECTORS_TABLE_DEPTH</vt:lpstr>
      <vt:lpstr>CONNECTORS_TABLE_FRAME</vt:lpstr>
      <vt:lpstr>CONNECTORS_TABLE_GAUGE</vt:lpstr>
      <vt:lpstr>CONNECTORS_TABLE_LENGTH</vt:lpstr>
      <vt:lpstr>CONNECTORS_TABLE_MATERIAL_NAME</vt:lpstr>
      <vt:lpstr>CONNECTORS_TABLE_PART_NUMBER</vt:lpstr>
      <vt:lpstr>CONNECTORS_TABLE_PRICE_M2</vt:lpstr>
      <vt:lpstr>CONNECTORS_TABLE_PRODUCT_CODE</vt:lpstr>
      <vt:lpstr>CUSTOMER_ADDRESS</vt:lpstr>
      <vt:lpstr>CUSTOMER_DATA_PATH</vt:lpstr>
      <vt:lpstr>CUSTOMER_ID</vt:lpstr>
      <vt:lpstr>CUSTOMER_NAME</vt:lpstr>
      <vt:lpstr>DEAD_LOAD_CEILING</vt:lpstr>
      <vt:lpstr>DEAD_LOAD_ROOF</vt:lpstr>
      <vt:lpstr>DECKING_TABLE</vt:lpstr>
      <vt:lpstr>DECKING_TABLE_CUTLENGTH</vt:lpstr>
      <vt:lpstr>DECKING_TABLE_CUTWIDTH</vt:lpstr>
      <vt:lpstr>DECKING_TABLE_LABEL</vt:lpstr>
      <vt:lpstr>DECKING_TABLE_LENGTH</vt:lpstr>
      <vt:lpstr>DECKING_TABLE_MATERIAL</vt:lpstr>
      <vt:lpstr>DECKING_TABLE_PRICE</vt:lpstr>
      <vt:lpstr>DECKING_TABLE_PRODUCT_CODE</vt:lpstr>
      <vt:lpstr>DECKING_TABLE_QUANTITY</vt:lpstr>
      <vt:lpstr>DECKING_TABLE_THICKNESS</vt:lpstr>
      <vt:lpstr>DECKING_TABLE_WEIGHT</vt:lpstr>
      <vt:lpstr>DECKING_TABLE_WIDTH</vt:lpstr>
      <vt:lpstr>DESIGNER</vt:lpstr>
      <vt:lpstr>EXTENDEDBOTTOMCHORD_HEEL_OFFSET</vt:lpstr>
      <vt:lpstr>EXTENDEDBOTTOMCHORD_VERTICAL_HEIGHT</vt:lpstr>
      <vt:lpstr>FABRICATOR</vt:lpstr>
      <vt:lpstr>FASTENERS_TABLE</vt:lpstr>
      <vt:lpstr>FASTENERS_TABLE_DIAMETER</vt:lpstr>
      <vt:lpstr>FASTENERS_TABLE_LENGTH</vt:lpstr>
      <vt:lpstr>FASTENERS_TABLE_MANUFACTURER</vt:lpstr>
      <vt:lpstr>FASTENERS_TABLE_MATERIAL_NAME</vt:lpstr>
      <vt:lpstr>FASTENERS_TABLE_OBJECT</vt:lpstr>
      <vt:lpstr>FASTENERS_TABLE_PACKAGE</vt:lpstr>
      <vt:lpstr>FASTENERS_TABLE_PRICE_PER_PACKAGE</vt:lpstr>
      <vt:lpstr>FASTENERS_TABLE_QUANTITY</vt:lpstr>
      <vt:lpstr>FASTENERS_TABLE_REF</vt:lpstr>
      <vt:lpstr>FASTENERS_TABLE_SUB_TYPE</vt:lpstr>
      <vt:lpstr>FASTENERS_TABLE_TYPE</vt:lpstr>
      <vt:lpstr>FASTENERS_TABLE_USAGE</vt:lpstr>
      <vt:lpstr>FINAL_CUSTOMER</vt:lpstr>
      <vt:lpstr>FRAME_SPACING</vt:lpstr>
      <vt:lpstr>FRAMES_TABLE</vt:lpstr>
      <vt:lpstr>FRAMES_TABLE_CASSETTE</vt:lpstr>
      <vt:lpstr>FRAMES_TABLE_CEILING_SEGMENTS</vt:lpstr>
      <vt:lpstr>FRAMES_TABLE_CENTER</vt:lpstr>
      <vt:lpstr>FRAMES_TABLE_CONNECTOR_AREA</vt:lpstr>
      <vt:lpstr>FRAMES_TABLE_CONNECTOR_AREA_SINGLE</vt:lpstr>
      <vt:lpstr>FRAMES_TABLE_CONNECTOR_POINTS</vt:lpstr>
      <vt:lpstr>FRAMES_TABLE_DOOR_AREA</vt:lpstr>
      <vt:lpstr>FRAMES_TABLE_FAMILY</vt:lpstr>
      <vt:lpstr>FRAMES_TABLE_FAMILY_ID</vt:lpstr>
      <vt:lpstr>FRAMES_TABLE_FRAMING_ZONE</vt:lpstr>
      <vt:lpstr>FRAMES_TABLE_HAS_LEFT_STUB</vt:lpstr>
      <vt:lpstr>FRAMES_TABLE_HAS_RIGHT_STUB</vt:lpstr>
      <vt:lpstr>FRAMES_TABLE_HOLES</vt:lpstr>
      <vt:lpstr>FRAMES_TABLE_HOUSINGS</vt:lpstr>
      <vt:lpstr>FRAMES_TABLE_IS_ATTIC</vt:lpstr>
      <vt:lpstr>FRAMES_TABLE_IS_ON_CONCRETE</vt:lpstr>
      <vt:lpstr>FRAMES_TABLE_LABEL</vt:lpstr>
      <vt:lpstr>FRAMES_TABLE_LAYOUT</vt:lpstr>
      <vt:lpstr>FRAMES_TABLE_MATCH_GROUP</vt:lpstr>
      <vt:lpstr>FRAMES_TABLE_MATCH_GROUP_MASTER</vt:lpstr>
      <vt:lpstr>FRAMES_TABLE_NAME</vt:lpstr>
      <vt:lpstr>FRAMES_TABLE_NBR_OF_SUPPORTS</vt:lpstr>
      <vt:lpstr>FRAMES_TABLE_OVERALL_HEIGHT</vt:lpstr>
      <vt:lpstr>FRAMES_TABLE_OVERALL_SPAN</vt:lpstr>
      <vt:lpstr>FRAMES_TABLE_OVERHANG_FROM</vt:lpstr>
      <vt:lpstr>FRAMES_TABLE_OVERHANG_TO</vt:lpstr>
      <vt:lpstr>FRAMES_TABLE_PANEL_AREA</vt:lpstr>
      <vt:lpstr>FRAMES_TABLE_PART_TRANSPORTATION_SIZES</vt:lpstr>
      <vt:lpstr>FRAMES_TABLE_PARTS</vt:lpstr>
      <vt:lpstr>FRAMES_TABLE_PITCH</vt:lpstr>
      <vt:lpstr>FRAMES_TABLE_PITCH_TCL</vt:lpstr>
      <vt:lpstr>FRAMES_TABLE_PITCH_TCR</vt:lpstr>
      <vt:lpstr>FRAMES_TABLE_PLIES</vt:lpstr>
      <vt:lpstr>FRAMES_TABLE_PRESS_COUNT</vt:lpstr>
      <vt:lpstr>FRAMES_TABLE_PRESS_SETUP_TIME</vt:lpstr>
      <vt:lpstr>FRAMES_TABLE_PRESSING_TIME</vt:lpstr>
      <vt:lpstr>FRAMES_TABLE_PRICE_PCS</vt:lpstr>
      <vt:lpstr>FRAMES_TABLE_PRODUCTION_CASE</vt:lpstr>
      <vt:lpstr>FRAMES_TABLE_PRODUCTION_SET</vt:lpstr>
      <vt:lpstr>FRAMES_TABLE_QUANTITY_SINGLE_PLY</vt:lpstr>
      <vt:lpstr>FRAMES_TABLE_QUOTE_GROUP</vt:lpstr>
      <vt:lpstr>FRAMES_TABLE_REDUCTIONS</vt:lpstr>
      <vt:lpstr>FRAMES_TABLE_ROOF_SEGMENTS</vt:lpstr>
      <vt:lpstr>FRAMES_TABLE_ROOM_HEIGHT</vt:lpstr>
      <vt:lpstr>FRAMES_TABLE_ROOM_WIDTH</vt:lpstr>
      <vt:lpstr>FRAMES_TABLE_SAW_CUTTING_TIME_INSTANCE</vt:lpstr>
      <vt:lpstr>FRAMES_TABLE_SAW_SETUP_TIME</vt:lpstr>
      <vt:lpstr>FRAMES_TABLE_SPAN</vt:lpstr>
      <vt:lpstr>FRAMES_TABLE_SPLICES</vt:lpstr>
      <vt:lpstr>FRAMES_TABLE_STOREY</vt:lpstr>
      <vt:lpstr>FRAMES_TABLE_TIMBER_COUNT</vt:lpstr>
      <vt:lpstr>FRAMES_TABLE_TOTAL_PARTS</vt:lpstr>
      <vt:lpstr>FRAMES_TABLE_TRANSPORTATION_HEIGHT</vt:lpstr>
      <vt:lpstr>FRAMES_TABLE_TRANSPORTATION_LENGTH</vt:lpstr>
      <vt:lpstr>FRAMES_TABLE_TYPE</vt:lpstr>
      <vt:lpstr>FRAMES_TABLE_TYPE_ID</vt:lpstr>
      <vt:lpstr>FRAMES_TABLE_VOLUME_ACTUAL</vt:lpstr>
      <vt:lpstr>FRAMES_TABLE_VOLUME_ACTUAL_SINGLE</vt:lpstr>
      <vt:lpstr>FRAMES_TABLE_VOLUME_STOCK</vt:lpstr>
      <vt:lpstr>FRAMES_TABLE_VOLUME_STOCK_SINGLE</vt:lpstr>
      <vt:lpstr>FRAMES_TABLE_WALL_PANEL_ASSEMBLY_TIME</vt:lpstr>
      <vt:lpstr>FRAMES_TABLE_WEIGHT</vt:lpstr>
      <vt:lpstr>FRAMES_TABLE_WINDOW_AREA</vt:lpstr>
      <vt:lpstr>FRAMING_ZONES_LAYOUT</vt:lpstr>
      <vt:lpstr>FRAMING_ZONES_STOREY</vt:lpstr>
      <vt:lpstr>FRAMING_ZONES_TABLE</vt:lpstr>
      <vt:lpstr>FRAMING_ZONES_TABLE_LAYOUT</vt:lpstr>
      <vt:lpstr>FRAMING_ZONES_TABLE_NAME</vt:lpstr>
      <vt:lpstr>FRAMING_ZONES_TABLE_PITCH</vt:lpstr>
      <vt:lpstr>FRAMING_ZONES_TABLE_PRICE</vt:lpstr>
      <vt:lpstr>FRAMING_ZONES_TABLE_SPAN</vt:lpstr>
      <vt:lpstr>FRAMING_ZONES_TABLE_STOREY</vt:lpstr>
      <vt:lpstr>FRAMING_ZONES_TABLE_TYPE</vt:lpstr>
      <vt:lpstr>HEEL_TYPE</vt:lpstr>
      <vt:lpstr>MANUFACTURING_FRAMES_TABLE</vt:lpstr>
      <vt:lpstr>MANUFACTURING_FRAMES_TABLE_CONNECTOR_AREA</vt:lpstr>
      <vt:lpstr>MANUFACTURING_FRAMES_TABLE_CONNECTOR_POINTS</vt:lpstr>
      <vt:lpstr>MANUFACTURING_FRAMES_TABLE_IS_ATTIC</vt:lpstr>
      <vt:lpstr>MANUFACTURING_FRAMES_TABLE_IS_ON_CONCRETE</vt:lpstr>
      <vt:lpstr>MANUFACTURING_FRAMES_TABLE_LABEL</vt:lpstr>
      <vt:lpstr>MANUFACTURING_FRAMES_TABLE_LAYOUT</vt:lpstr>
      <vt:lpstr>MANUFACTURING_FRAMES_TABLE_NAME</vt:lpstr>
      <vt:lpstr>MANUFACTURING_FRAMES_TABLE_OVERALL_HEIGHT</vt:lpstr>
      <vt:lpstr>MANUFACTURING_FRAMES_TABLE_OVERALL_SPAN</vt:lpstr>
      <vt:lpstr>MANUFACTURING_FRAMES_TABLE_PLIES</vt:lpstr>
      <vt:lpstr>MANUFACTURING_FRAMES_TABLE_PRODUCTION_SET</vt:lpstr>
      <vt:lpstr>MANUFACTURING_FRAMES_TABLE_QUANTITY</vt:lpstr>
      <vt:lpstr>MANUFACTURING_FRAMES_TABLE_ROOF_SEGMENTS</vt:lpstr>
      <vt:lpstr>MANUFACTURING_FRAMES_TABLE_STOREY</vt:lpstr>
      <vt:lpstr>MANUFACTURING_FRAMES_TABLE_VOLUME_ACTUAL</vt:lpstr>
      <vt:lpstr>MATERIAL_TOTAL_ALLWOODENITEMS_PRICE</vt:lpstr>
      <vt:lpstr>MATERIAL_TOTAL_CIRCULAR_TIMBER_VOLUME</vt:lpstr>
      <vt:lpstr>MATERIAL_TOTAL_GLULAM_PRICE</vt:lpstr>
      <vt:lpstr>MATERIAL_TOTAL_GLULAM_VOLUME</vt:lpstr>
      <vt:lpstr>MATERIAL_TOTAL_LVL_PRICE</vt:lpstr>
      <vt:lpstr>MATERIAL_TOTAL_LVL_VOLUME</vt:lpstr>
      <vt:lpstr>MATERIAL_TOTAL_PLATES_PRICE</vt:lpstr>
      <vt:lpstr>MATERIAL_TOTAL_POSISTRUT_PRICE</vt:lpstr>
      <vt:lpstr>MATERIAL_TOTAL_TIMBER_PRICE</vt:lpstr>
      <vt:lpstr>MATERIAL_TOTAL_TIMBER_VOLUME</vt:lpstr>
      <vt:lpstr>METALWORK_TABLE</vt:lpstr>
      <vt:lpstr>METALWORK_TABLE_COUNT</vt:lpstr>
      <vt:lpstr>METALWORK_TABLE_DEPTH</vt:lpstr>
      <vt:lpstr>METALWORK_TABLE_DESCRIPTION</vt:lpstr>
      <vt:lpstr>METALWORK_TABLE_FAILURE_REASON</vt:lpstr>
      <vt:lpstr>METALWORK_TABLE_FINAL_PRICE</vt:lpstr>
      <vt:lpstr>METALWORK_TABLE_FIXING</vt:lpstr>
      <vt:lpstr>METALWORK_TABLE_FIXING_QUANTITY</vt:lpstr>
      <vt:lpstr>METALWORK_TABLE_FLANGE_WIDTH</vt:lpstr>
      <vt:lpstr>METALWORK_TABLE_GROUP</vt:lpstr>
      <vt:lpstr>METALWORK_TABLE_HANGER</vt:lpstr>
      <vt:lpstr>METALWORK_TABLE_HEIGHT</vt:lpstr>
      <vt:lpstr>METALWORK_TABLE_MATERIAL_NAME</vt:lpstr>
      <vt:lpstr>METALWORK_TABLE_QUANTITY</vt:lpstr>
      <vt:lpstr>METALWORK_TABLE_QUOTE_GROUP</vt:lpstr>
      <vt:lpstr>METALWORK_TABLE_STATUS</vt:lpstr>
      <vt:lpstr>METALWORK_TABLE_SUPPLIER</vt:lpstr>
      <vt:lpstr>METALWORK_TABLE_WIDTH</vt:lpstr>
      <vt:lpstr>OPENING_DESCRIPTION</vt:lpstr>
      <vt:lpstr>OPENING_FRAME_LABEL</vt:lpstr>
      <vt:lpstr>OPENING_HEIGHT</vt:lpstr>
      <vt:lpstr>OPENING_NAME</vt:lpstr>
      <vt:lpstr>OPENING_QUANTITY</vt:lpstr>
      <vt:lpstr>OPENING_TYPE</vt:lpstr>
      <vt:lpstr>OPENING_WIDTH</vt:lpstr>
      <vt:lpstr>PAMIR_VAT</vt:lpstr>
      <vt:lpstr>PART_TRANSPORTATION_SIZES</vt:lpstr>
      <vt:lpstr>PERPENDICULAR_HEEL_OFFSET</vt:lpstr>
      <vt:lpstr>PERPENDICULAR_HEEL_PERPENDICULAR_HEIGHT</vt:lpstr>
      <vt:lpstr>PITCH</vt:lpstr>
      <vt:lpstr>POSI_STRUT_TABLE</vt:lpstr>
      <vt:lpstr>POSI_STRUT_TABLE_FRAME</vt:lpstr>
      <vt:lpstr>POSI_STRUT_TABLE_PRICE_FULL</vt:lpstr>
      <vt:lpstr>POSI_STRUT_TABLE_PRICE_SINGLE</vt:lpstr>
      <vt:lpstr>POSI_STRUT_TABLE_QUANTITY_FULL</vt:lpstr>
      <vt:lpstr>POSI_STRUT_TABLE_QUANTITY_SINGLE</vt:lpstr>
      <vt:lpstr>POSI_STRUT_TABLE_SIZE</vt:lpstr>
      <vt:lpstr>PROJECT_NAME</vt:lpstr>
      <vt:lpstr>PROJECT_TYPE</vt:lpstr>
      <vt:lpstr>ROOFING_DATA_TABLE</vt:lpstr>
      <vt:lpstr>ROOFING_DATA_TABLE_LENGTH</vt:lpstr>
      <vt:lpstr>ROOFING_DATA_TABLE_TYPE</vt:lpstr>
      <vt:lpstr>SHEETING_TABLE</vt:lpstr>
      <vt:lpstr>SHEETING_TABLE_CUTHEIGHT</vt:lpstr>
      <vt:lpstr>SHEETING_TABLE_CUTLENGTH</vt:lpstr>
      <vt:lpstr>SHEETING_TABLE_CUTWIDTH</vt:lpstr>
      <vt:lpstr>SHEETING_TABLE_LABEL</vt:lpstr>
      <vt:lpstr>SHEETING_TABLE_LENGTH</vt:lpstr>
      <vt:lpstr>SHEETING_TABLE_MATERIAL</vt:lpstr>
      <vt:lpstr>SHEETING_TABLE_PRICE</vt:lpstr>
      <vt:lpstr>SHEETING_TABLE_PRODUCT_CODE</vt:lpstr>
      <vt:lpstr>SHEETING_TABLE_QUANTITY</vt:lpstr>
      <vt:lpstr>SHEETING_TABLE_THICKNESS</vt:lpstr>
      <vt:lpstr>SHEETING_TABLE_WEIGHT</vt:lpstr>
      <vt:lpstr>SHEETING_TABLE_WIDTH</vt:lpstr>
      <vt:lpstr>SITE_ADDRESS</vt:lpstr>
      <vt:lpstr>SITE_LOCATION</vt:lpstr>
      <vt:lpstr>SNOW_ZONE</vt:lpstr>
      <vt:lpstr>STANDARD_HEEL_OVERHANG</vt:lpstr>
      <vt:lpstr>STANDARD_HEEL_PERPENDICULAR_HEIGHT</vt:lpstr>
      <vt:lpstr>SUNDRY_ITEMS_TABLE</vt:lpstr>
      <vt:lpstr>SUNDRY_ITEMS_TABLE_DEPTH</vt:lpstr>
      <vt:lpstr>SUNDRY_ITEMS_TABLE_DESCRIPTION</vt:lpstr>
      <vt:lpstr>SUNDRY_ITEMS_TABLE_FINAL_PRICE</vt:lpstr>
      <vt:lpstr>SUNDRY_ITEMS_TABLE_LABEL</vt:lpstr>
      <vt:lpstr>SUNDRY_ITEMS_TABLE_LENGTH</vt:lpstr>
      <vt:lpstr>SUNDRY_ITEMS_TABLE_MATERIAL_NAME</vt:lpstr>
      <vt:lpstr>SUNDRY_ITEMS_TABLE_QUOTE_SIZE</vt:lpstr>
      <vt:lpstr>SUNDRY_ITEMS_TABLE_TYPE</vt:lpstr>
      <vt:lpstr>SURFACES_TABLE</vt:lpstr>
      <vt:lpstr>SURFACES_TABLE_AREA</vt:lpstr>
      <vt:lpstr>SURFACES_TABLE_AREA_OUTSIDE_WALLS</vt:lpstr>
      <vt:lpstr>SURFACES_TABLE_CHAIN</vt:lpstr>
      <vt:lpstr>SURFACES_TABLE_GABLE</vt:lpstr>
      <vt:lpstr>SURFACES_TABLE_NAME</vt:lpstr>
      <vt:lpstr>SURFACES_TABLE_PITCH</vt:lpstr>
      <vt:lpstr>SURFACES_TABLE_TYPE</vt:lpstr>
      <vt:lpstr>TEMPLATE</vt:lpstr>
      <vt:lpstr>TIMBER_TABLE</vt:lpstr>
      <vt:lpstr>TIMBER_TABLE_DEPTH</vt:lpstr>
      <vt:lpstr>TIMBER_TABLE_FRAME</vt:lpstr>
      <vt:lpstr>TIMBER_TABLE_GRADE</vt:lpstr>
      <vt:lpstr>TIMBER_TABLE_LABEL</vt:lpstr>
      <vt:lpstr>TIMBER_TABLE_MATERIAL_NAME</vt:lpstr>
      <vt:lpstr>TIMBER_TABLE_MEMBER_LAYERS</vt:lpstr>
      <vt:lpstr>TIMBER_TABLE_OVERALL_LENGTH</vt:lpstr>
      <vt:lpstr>TIMBER_TABLE_PART_NUMBER</vt:lpstr>
      <vt:lpstr>TIMBER_TABLE_PRICE_M3</vt:lpstr>
      <vt:lpstr>TIMBER_TABLE_PRODUCT_CODE</vt:lpstr>
      <vt:lpstr>TIMBER_TABLE_QUANTITY</vt:lpstr>
      <vt:lpstr>TIMBER_TABLE_QUANTITY_PER_PLY</vt:lpstr>
      <vt:lpstr>TIMBER_TABLE_THICKNESS</vt:lpstr>
      <vt:lpstr>TIMBER_TABLE_TYPE</vt:lpstr>
      <vt:lpstr>VERTICAL_HEEL_OFFSET</vt:lpstr>
      <vt:lpstr>VERTICAL_HEEL_VERTICAL_HEIGHT</vt:lpstr>
      <vt:lpstr>WALL_PLATE_LAYBACK_FROM_OUTSIDE</vt:lpstr>
      <vt:lpstr>WALL_PLATE_WIDTH</vt:lpstr>
      <vt:lpstr>WALLS_TABLE</vt:lpstr>
      <vt:lpstr>WALLS_TABLE_CHAIN</vt:lpstr>
      <vt:lpstr>WALLS_TABLE_DESCRIPTION</vt:lpstr>
      <vt:lpstr>WALLS_TABLE_HEIGHT_BOTTOM</vt:lpstr>
      <vt:lpstr>WALLS_TABLE_HEIGHT_REFERENCE</vt:lpstr>
      <vt:lpstr>WALLS_TABLE_HORIZONTAL_LENGTH</vt:lpstr>
      <vt:lpstr>WALLS_TABLE_LENGTH</vt:lpstr>
      <vt:lpstr>WALLS_TABLE_NAME</vt:lpstr>
      <vt:lpstr>WALLS_TABLE_SUPPORTING</vt:lpstr>
      <vt:lpstr>WALLS_TABLE_TYPE</vt:lpstr>
      <vt:lpstr>WALLS_TABLE_WALLPLATE_DEPTH</vt:lpstr>
      <vt:lpstr>WALLS_TABLE_WALLPLATE_THICKNESS</vt:lpstr>
      <vt:lpstr>WIND_ZONE</vt:lpstr>
    </vt:vector>
  </TitlesOfParts>
  <Company>MiTek Industries S.A.S.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Furnon</dc:creator>
  <cp:lastModifiedBy>Dale Tiley</cp:lastModifiedBy>
  <cp:lastPrinted>2004-09-06T11:55:22Z</cp:lastPrinted>
  <dcterms:created xsi:type="dcterms:W3CDTF">2004-02-16T15:09:33Z</dcterms:created>
  <dcterms:modified xsi:type="dcterms:W3CDTF">2025-04-17T10:36:36Z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0x0101003A171881C87C6C4DA918437F3EDE4E2C</vt:lpwstr>
  </property>
</Properties>
</file>